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c3ab6ad588f7337/桌面/Autoreport/"/>
    </mc:Choice>
  </mc:AlternateContent>
  <xr:revisionPtr revIDLastSave="24" documentId="11_3FDEED65C15D34975F626D185AC1C524500BC940" xr6:coauthVersionLast="47" xr6:coauthVersionMax="47" xr10:uidLastSave="{427B06FA-F7EF-45A1-AAB0-1EC7F785BBE4}"/>
  <bookViews>
    <workbookView xWindow="-108" yWindow="-108" windowWidth="23256" windowHeight="12456" activeTab="3" xr2:uid="{00000000-000D-0000-FFFF-FFFF00000000}"/>
  </bookViews>
  <sheets>
    <sheet name="北" sheetId="1" r:id="rId1"/>
    <sheet name="中" sheetId="2" r:id="rId2"/>
    <sheet name="南" sheetId="3" r:id="rId3"/>
    <sheet name="國外" sheetId="4" r:id="rId4"/>
  </sheet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4" l="1"/>
  <c r="L15" i="4" s="1"/>
  <c r="D9" i="4"/>
  <c r="D13" i="4" s="1"/>
  <c r="C9" i="4"/>
  <c r="L13" i="4" s="1"/>
  <c r="K8" i="4"/>
  <c r="K7" i="4"/>
  <c r="G7" i="4"/>
  <c r="E7" i="4"/>
  <c r="K6" i="4"/>
  <c r="G6" i="4"/>
  <c r="E6" i="4"/>
  <c r="K5" i="4"/>
  <c r="G5" i="4"/>
  <c r="E5" i="4"/>
  <c r="K4" i="4"/>
  <c r="G4" i="4"/>
  <c r="E4" i="4"/>
  <c r="K3" i="4"/>
  <c r="G3" i="4"/>
  <c r="E3" i="4"/>
  <c r="F25" i="3"/>
  <c r="C30" i="3" s="1"/>
  <c r="D25" i="3"/>
  <c r="C29" i="3" s="1"/>
  <c r="C25" i="3"/>
  <c r="C28" i="3" s="1"/>
  <c r="K24" i="3"/>
  <c r="G24" i="3"/>
  <c r="E24" i="3"/>
  <c r="K23" i="3"/>
  <c r="G23" i="3"/>
  <c r="E23" i="3"/>
  <c r="K22" i="3"/>
  <c r="G22" i="3"/>
  <c r="E22" i="3"/>
  <c r="K21" i="3"/>
  <c r="G21" i="3"/>
  <c r="E21" i="3"/>
  <c r="K20" i="3"/>
  <c r="G20" i="3"/>
  <c r="E20" i="3"/>
  <c r="K19" i="3"/>
  <c r="G19" i="3"/>
  <c r="E19" i="3"/>
  <c r="K18" i="3"/>
  <c r="K17" i="3"/>
  <c r="G17" i="3"/>
  <c r="E17" i="3"/>
  <c r="K16" i="3"/>
  <c r="K15" i="3"/>
  <c r="G15" i="3"/>
  <c r="E15" i="3"/>
  <c r="K14" i="3"/>
  <c r="K13" i="3"/>
  <c r="K12" i="3"/>
  <c r="K11" i="3"/>
  <c r="K10" i="3"/>
  <c r="G10" i="3"/>
  <c r="E10" i="3"/>
  <c r="K9" i="3"/>
  <c r="K8" i="3"/>
  <c r="G8" i="3"/>
  <c r="E8" i="3"/>
  <c r="K7" i="3"/>
  <c r="G7" i="3"/>
  <c r="E7" i="3"/>
  <c r="K6" i="3"/>
  <c r="K5" i="3"/>
  <c r="K4" i="3"/>
  <c r="G4" i="3"/>
  <c r="E4" i="3"/>
  <c r="K3" i="3"/>
  <c r="F15" i="2"/>
  <c r="C20" i="2" s="1"/>
  <c r="D15" i="2"/>
  <c r="C19" i="2" s="1"/>
  <c r="C15" i="2"/>
  <c r="C18" i="2" s="1"/>
  <c r="K14" i="2"/>
  <c r="K13" i="2"/>
  <c r="K12" i="2"/>
  <c r="G12" i="2"/>
  <c r="E12" i="2"/>
  <c r="K11" i="2"/>
  <c r="K10" i="2"/>
  <c r="K9" i="2"/>
  <c r="G9" i="2"/>
  <c r="E9" i="2"/>
  <c r="K8" i="2"/>
  <c r="K7" i="2"/>
  <c r="K6" i="2"/>
  <c r="G6" i="2"/>
  <c r="E6" i="2"/>
  <c r="K5" i="2"/>
  <c r="G5" i="2"/>
  <c r="E5" i="2"/>
  <c r="K4" i="2"/>
  <c r="K3" i="2"/>
  <c r="G3" i="2"/>
  <c r="E3" i="2"/>
  <c r="F33" i="1"/>
  <c r="C38" i="1" s="1"/>
  <c r="D33" i="1"/>
  <c r="C37" i="1" s="1"/>
  <c r="C33" i="1"/>
  <c r="C36" i="1" s="1"/>
  <c r="K32" i="1"/>
  <c r="G32" i="1"/>
  <c r="E32" i="1"/>
  <c r="K31" i="1"/>
  <c r="G31" i="1"/>
  <c r="E31" i="1"/>
  <c r="K30" i="1"/>
  <c r="K29" i="1"/>
  <c r="G29" i="1"/>
  <c r="E29" i="1"/>
  <c r="K28" i="1"/>
  <c r="G28" i="1"/>
  <c r="E28" i="1"/>
  <c r="K27" i="1"/>
  <c r="G27" i="1"/>
  <c r="E27" i="1"/>
  <c r="K26" i="1"/>
  <c r="K25" i="1"/>
  <c r="K24" i="1"/>
  <c r="K23" i="1"/>
  <c r="G23" i="1"/>
  <c r="E23" i="1"/>
  <c r="K22" i="1"/>
  <c r="K21" i="1"/>
  <c r="G21" i="1"/>
  <c r="E21" i="1"/>
  <c r="K20" i="1"/>
  <c r="G20" i="1"/>
  <c r="E20" i="1"/>
  <c r="K19" i="1"/>
  <c r="G19" i="1"/>
  <c r="E19" i="1"/>
  <c r="K18" i="1"/>
  <c r="G18" i="1"/>
  <c r="E18" i="1"/>
  <c r="K17" i="1"/>
  <c r="G17" i="1"/>
  <c r="E17" i="1"/>
  <c r="K16" i="1"/>
  <c r="K15" i="1"/>
  <c r="K14" i="1"/>
  <c r="K13" i="1"/>
  <c r="G13" i="1"/>
  <c r="E13" i="1"/>
  <c r="K12" i="1"/>
  <c r="G12" i="1"/>
  <c r="E12" i="1"/>
  <c r="K11" i="1"/>
  <c r="G11" i="1"/>
  <c r="E11" i="1"/>
  <c r="K10" i="1"/>
  <c r="G10" i="1"/>
  <c r="E10" i="1"/>
  <c r="K9" i="1"/>
  <c r="G9" i="1"/>
  <c r="E9" i="1"/>
  <c r="K8" i="1"/>
  <c r="K7" i="1"/>
  <c r="K6" i="1"/>
  <c r="K5" i="1"/>
  <c r="G5" i="1"/>
  <c r="E5" i="1"/>
  <c r="K4" i="1"/>
  <c r="G4" i="1"/>
  <c r="E4" i="1"/>
  <c r="K3" i="1"/>
  <c r="G3" i="1"/>
  <c r="E3" i="1"/>
  <c r="D12" i="4" l="1"/>
  <c r="L14" i="4"/>
  <c r="E15" i="2"/>
  <c r="C22" i="2" s="1"/>
  <c r="E33" i="1"/>
  <c r="C40" i="1" s="1"/>
  <c r="D14" i="4"/>
  <c r="G25" i="3"/>
  <c r="C31" i="3" s="1"/>
  <c r="E9" i="4"/>
  <c r="D16" i="4" s="1"/>
  <c r="G9" i="4"/>
  <c r="L16" i="4" s="1"/>
  <c r="G33" i="1"/>
  <c r="C39" i="1" s="1"/>
  <c r="G15" i="2"/>
  <c r="C21" i="2" s="1"/>
  <c r="E25" i="3"/>
  <c r="C32" i="3" s="1"/>
  <c r="D15" i="4" l="1"/>
  <c r="L1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3" authorId="0" shapeId="0" xr:uid="{00000000-0006-0000-0000-000001000000}">
      <text>
        <r>
          <rPr>
            <sz val="12"/>
            <color theme="1"/>
            <rFont val="新細明體"/>
            <family val="2"/>
            <scheme val="minor"/>
          </rPr>
          <t>作者:
新訂單 On going</t>
        </r>
      </text>
    </comment>
    <comment ref="I3" authorId="0" shapeId="0" xr:uid="{00000000-0006-0000-0000-000002000000}">
      <text>
        <r>
          <rPr>
            <sz val="12"/>
            <color theme="1"/>
            <rFont val="新細明體"/>
            <family val="2"/>
            <scheme val="minor"/>
          </rPr>
          <t>作者:
新訂單 On going</t>
        </r>
      </text>
    </comment>
    <comment ref="H9" authorId="0" shapeId="0" xr:uid="{00000000-0006-0000-0000-000003000000}">
      <text>
        <r>
          <rPr>
            <sz val="12"/>
            <color theme="1"/>
            <rFont val="新細明體"/>
            <family val="2"/>
            <scheme val="minor"/>
          </rPr>
          <t>作者:
時間難約，不確定客戶是否續裝</t>
        </r>
      </text>
    </comment>
    <comment ref="I9" authorId="0" shapeId="0" xr:uid="{00000000-0006-0000-0000-000004000000}">
      <text>
        <r>
          <rPr>
            <sz val="12"/>
            <color theme="1"/>
            <rFont val="新細明體"/>
            <family val="2"/>
            <scheme val="minor"/>
          </rPr>
          <t>作者:
時間難約，不確定客戶是否續裝</t>
        </r>
      </text>
    </comment>
    <comment ref="H10" authorId="0" shapeId="0" xr:uid="{00000000-0006-0000-0000-000005000000}">
      <text>
        <r>
          <rPr>
            <sz val="12"/>
            <color theme="1"/>
            <rFont val="新細明體"/>
            <family val="2"/>
            <scheme val="minor"/>
          </rPr>
          <t>作者:
時間難約，不確定客戶是否續裝</t>
        </r>
      </text>
    </comment>
    <comment ref="I10" authorId="0" shapeId="0" xr:uid="{00000000-0006-0000-0000-000006000000}">
      <text>
        <r>
          <rPr>
            <sz val="12"/>
            <color theme="1"/>
            <rFont val="新細明體"/>
            <family val="2"/>
            <scheme val="minor"/>
          </rPr>
          <t>作者:
時間難約，不確定客戶是否續裝</t>
        </r>
      </text>
    </comment>
    <comment ref="H11" authorId="0" shapeId="0" xr:uid="{00000000-0006-0000-0000-000007000000}">
      <text>
        <r>
          <rPr>
            <sz val="12"/>
            <color theme="1"/>
            <rFont val="新細明體"/>
            <family val="2"/>
            <scheme val="minor"/>
          </rPr>
          <t>作者:
新case</t>
        </r>
      </text>
    </comment>
    <comment ref="I11" authorId="0" shapeId="0" xr:uid="{00000000-0006-0000-0000-000008000000}">
      <text>
        <r>
          <rPr>
            <sz val="12"/>
            <color theme="1"/>
            <rFont val="新細明體"/>
            <family val="2"/>
            <scheme val="minor"/>
          </rPr>
          <t>作者:
新case</t>
        </r>
      </text>
    </comment>
    <comment ref="H13" authorId="0" shapeId="0" xr:uid="{00000000-0006-0000-0000-000009000000}">
      <text>
        <r>
          <rPr>
            <sz val="12"/>
            <color theme="1"/>
            <rFont val="新細明體"/>
            <family val="2"/>
            <scheme val="minor"/>
          </rPr>
          <t>作者:
新案件，所需時間較長
(三天)，On going</t>
        </r>
      </text>
    </comment>
    <comment ref="I13" authorId="0" shapeId="0" xr:uid="{00000000-0006-0000-0000-00000A000000}">
      <text>
        <r>
          <rPr>
            <sz val="12"/>
            <color theme="1"/>
            <rFont val="新細明體"/>
            <family val="2"/>
            <scheme val="minor"/>
          </rPr>
          <t>作者:
新案件，所需時間較長
(三天)，On going</t>
        </r>
      </text>
    </comment>
    <comment ref="C17" authorId="0" shapeId="0" xr:uid="{00000000-0006-0000-0000-00000B000000}">
      <text>
        <r>
          <rPr>
            <sz val="12"/>
            <color theme="1"/>
            <rFont val="新細明體"/>
            <family val="2"/>
            <scheme val="minor"/>
          </rPr>
          <t>[對話串註解]
您的 Excel 版本可讓您讀取此對話串註解; 但若以較新的 Excel 版本開啟此檔案，將會移除對它進行的所有編輯。深入了解: https://go.microsoft.com/fwlink/?linkid=870924。
註解:
    2台訂單做4台MULTI</t>
        </r>
      </text>
    </comment>
    <comment ref="F18" authorId="0" shapeId="0" xr:uid="{00000000-0006-0000-0000-00000C000000}">
      <text>
        <r>
          <rPr>
            <sz val="12"/>
            <color theme="1"/>
            <rFont val="新細明體"/>
            <family val="2"/>
            <scheme val="minor"/>
          </rPr>
          <t>作者:
FREE *1</t>
        </r>
      </text>
    </comment>
    <comment ref="H19" authorId="0" shapeId="0" xr:uid="{00000000-0006-0000-0000-00000D000000}">
      <text>
        <r>
          <rPr>
            <sz val="12"/>
            <color theme="1"/>
            <rFont val="新細明體"/>
            <family val="2"/>
            <scheme val="minor"/>
          </rPr>
          <t>作者:
新case</t>
        </r>
      </text>
    </comment>
    <comment ref="I19" authorId="0" shapeId="0" xr:uid="{00000000-0006-0000-0000-00000E000000}">
      <text>
        <r>
          <rPr>
            <sz val="12"/>
            <color theme="1"/>
            <rFont val="新細明體"/>
            <family val="2"/>
            <scheme val="minor"/>
          </rPr>
          <t>作者:
新case</t>
        </r>
      </text>
    </comment>
    <comment ref="G23" authorId="0" shapeId="0" xr:uid="{00000000-0006-0000-0000-00000F000000}">
      <text>
        <r>
          <rPr>
            <sz val="12"/>
            <color theme="1"/>
            <rFont val="新細明體"/>
            <family val="2"/>
            <scheme val="minor"/>
          </rPr>
          <t>[對話串註解]
您的 Excel 版本可讓您讀取此對話串註解; 但若以較新的 Excel 版本開啟此檔案，將會移除對它進行的所有編輯。深入了解: https://go.microsoft.com/fwlink/?linkid=870924。
註解:
    修改才能驗收</t>
        </r>
      </text>
    </comment>
    <comment ref="E27" authorId="0" shapeId="0" xr:uid="{00000000-0006-0000-0000-000010000000}">
      <text>
        <r>
          <rPr>
            <sz val="12"/>
            <color theme="1"/>
            <rFont val="新細明體"/>
            <family val="2"/>
            <scheme val="minor"/>
          </rPr>
          <t>[對話串註解]
您的 Excel 版本可讓您讀取此對話串註解; 但若以較新的 Excel 版本開啟此檔案，將會移除對它進行的所有編輯。深入了解: https://go.microsoft.com/fwlink/?linkid=870924。
註解:
    訂單結案</t>
        </r>
      </text>
    </comment>
    <comment ref="H27" authorId="0" shapeId="0" xr:uid="{00000000-0006-0000-0000-000011000000}">
      <text>
        <r>
          <rPr>
            <sz val="12"/>
            <color theme="1"/>
            <rFont val="新細明體"/>
            <family val="2"/>
            <scheme val="minor"/>
          </rPr>
          <t>作者:
重新開發中</t>
        </r>
      </text>
    </comment>
    <comment ref="I27" authorId="0" shapeId="0" xr:uid="{00000000-0006-0000-0000-000012000000}">
      <text>
        <r>
          <rPr>
            <sz val="12"/>
            <color theme="1"/>
            <rFont val="新細明體"/>
            <family val="2"/>
            <scheme val="minor"/>
          </rPr>
          <t>作者:
重新開發中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3" authorId="0" shapeId="0" xr:uid="{00000000-0006-0000-0100-000001000000}">
      <text>
        <r>
          <rPr>
            <sz val="12"/>
            <color theme="1"/>
            <rFont val="新細明體"/>
            <family val="2"/>
            <scheme val="minor"/>
          </rPr>
          <t>作者:
新增2019年出貨14套
系統無紀錄</t>
        </r>
      </text>
    </comment>
    <comment ref="I3" authorId="0" shapeId="0" xr:uid="{00000000-0006-0000-0100-000002000000}">
      <text>
        <r>
          <rPr>
            <sz val="12"/>
            <color theme="1"/>
            <rFont val="新細明體"/>
            <family val="2"/>
            <scheme val="minor"/>
          </rPr>
          <t>作者:
新增2019年出貨14套
系統無紀錄</t>
        </r>
      </text>
    </comment>
    <comment ref="J3" authorId="0" shapeId="0" xr:uid="{00000000-0006-0000-0100-000003000000}">
      <text>
        <r>
          <rPr>
            <sz val="12"/>
            <color theme="1"/>
            <rFont val="新細明體"/>
            <family val="2"/>
            <scheme val="minor"/>
          </rPr>
          <t>作者:
新增2019年出貨14套
系統無紀錄</t>
        </r>
      </text>
    </comment>
    <comment ref="H7" authorId="0" shapeId="0" xr:uid="{00000000-0006-0000-0100-000004000000}">
      <text>
        <r>
          <rPr>
            <sz val="12"/>
            <color theme="1"/>
            <rFont val="新細明體"/>
            <family val="2"/>
            <scheme val="minor"/>
          </rPr>
          <t>作者:
重點，On going</t>
        </r>
      </text>
    </comment>
    <comment ref="I7" authorId="0" shapeId="0" xr:uid="{00000000-0006-0000-0100-000005000000}">
      <text>
        <r>
          <rPr>
            <sz val="12"/>
            <color theme="1"/>
            <rFont val="新細明體"/>
            <family val="2"/>
            <scheme val="minor"/>
          </rPr>
          <t>作者:
重點，On going</t>
        </r>
      </text>
    </comment>
    <comment ref="H8" authorId="0" shapeId="0" xr:uid="{00000000-0006-0000-0100-000006000000}">
      <text>
        <r>
          <rPr>
            <sz val="12"/>
            <color theme="1"/>
            <rFont val="新細明體"/>
            <family val="2"/>
            <scheme val="minor"/>
          </rPr>
          <t>作者:
須配合客戶大保時間，
On going</t>
        </r>
      </text>
    </comment>
    <comment ref="I8" authorId="0" shapeId="0" xr:uid="{00000000-0006-0000-0100-000007000000}">
      <text>
        <r>
          <rPr>
            <sz val="12"/>
            <color theme="1"/>
            <rFont val="新細明體"/>
            <family val="2"/>
            <scheme val="minor"/>
          </rPr>
          <t>作者:
須配合客戶大保時間，
On going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6" authorId="0" shapeId="0" xr:uid="{00000000-0006-0000-0200-000001000000}">
      <text>
        <r>
          <rPr>
            <sz val="12"/>
            <color theme="1"/>
            <rFont val="新細明體"/>
            <family val="2"/>
            <scheme val="minor"/>
          </rPr>
          <t>作者:
On going</t>
        </r>
      </text>
    </comment>
    <comment ref="I6" authorId="0" shapeId="0" xr:uid="{00000000-0006-0000-0200-000002000000}">
      <text>
        <r>
          <rPr>
            <sz val="12"/>
            <color theme="1"/>
            <rFont val="新細明體"/>
            <family val="2"/>
            <scheme val="minor"/>
          </rPr>
          <t>作者:
On going</t>
        </r>
      </text>
    </comment>
    <comment ref="H7" authorId="0" shapeId="0" xr:uid="{00000000-0006-0000-0200-000003000000}">
      <text>
        <r>
          <rPr>
            <sz val="12"/>
            <color theme="1"/>
            <rFont val="新細明體"/>
            <family val="2"/>
            <scheme val="minor"/>
          </rPr>
          <t>作者:
On going</t>
        </r>
      </text>
    </comment>
    <comment ref="I7" authorId="0" shapeId="0" xr:uid="{00000000-0006-0000-0200-000004000000}">
      <text>
        <r>
          <rPr>
            <sz val="12"/>
            <color theme="1"/>
            <rFont val="新細明體"/>
            <family val="2"/>
            <scheme val="minor"/>
          </rPr>
          <t>作者:
On going</t>
        </r>
      </text>
    </comment>
    <comment ref="H9" authorId="0" shapeId="0" xr:uid="{00000000-0006-0000-0200-000005000000}">
      <text>
        <r>
          <rPr>
            <sz val="12"/>
            <color theme="1"/>
            <rFont val="新細明體"/>
            <family val="2"/>
            <scheme val="minor"/>
          </rPr>
          <t>作者:
重點，時間難約
4月完成一台</t>
        </r>
      </text>
    </comment>
    <comment ref="I9" authorId="0" shapeId="0" xr:uid="{00000000-0006-0000-0200-000006000000}">
      <text>
        <r>
          <rPr>
            <sz val="12"/>
            <color theme="1"/>
            <rFont val="新細明體"/>
            <family val="2"/>
            <scheme val="minor"/>
          </rPr>
          <t>作者:
重點，時間難約
4月完成一台</t>
        </r>
      </text>
    </comment>
    <comment ref="H15" authorId="0" shapeId="0" xr:uid="{00000000-0006-0000-0200-000007000000}">
      <text>
        <r>
          <rPr>
            <sz val="12"/>
            <color theme="1"/>
            <rFont val="新細明體"/>
            <family val="2"/>
            <scheme val="minor"/>
          </rPr>
          <t>作者:
重新開發中</t>
        </r>
      </text>
    </comment>
    <comment ref="I15" authorId="0" shapeId="0" xr:uid="{00000000-0006-0000-0200-000008000000}">
      <text>
        <r>
          <rPr>
            <sz val="12"/>
            <color theme="1"/>
            <rFont val="新細明體"/>
            <family val="2"/>
            <scheme val="minor"/>
          </rPr>
          <t>作者:
重新開發中</t>
        </r>
      </text>
    </comment>
    <comment ref="H17" authorId="0" shapeId="0" xr:uid="{00000000-0006-0000-0200-000009000000}">
      <text>
        <r>
          <rPr>
            <sz val="12"/>
            <color theme="1"/>
            <rFont val="新細明體"/>
            <family val="2"/>
            <scheme val="minor"/>
          </rPr>
          <t>作者:
New case,On going</t>
        </r>
      </text>
    </comment>
    <comment ref="I17" authorId="0" shapeId="0" xr:uid="{00000000-0006-0000-0200-00000A000000}">
      <text>
        <r>
          <rPr>
            <sz val="12"/>
            <color theme="1"/>
            <rFont val="新細明體"/>
            <family val="2"/>
            <scheme val="minor"/>
          </rPr>
          <t>作者:
New case,On going</t>
        </r>
      </text>
    </comment>
    <comment ref="H22" authorId="0" shapeId="0" xr:uid="{00000000-0006-0000-0200-00000B000000}">
      <text>
        <r>
          <rPr>
            <sz val="12"/>
            <color theme="1"/>
            <rFont val="新細明體"/>
            <family val="2"/>
            <scheme val="minor"/>
          </rPr>
          <t>作者:
新case</t>
        </r>
      </text>
    </comment>
    <comment ref="I22" authorId="0" shapeId="0" xr:uid="{00000000-0006-0000-0200-00000C000000}">
      <text>
        <r>
          <rPr>
            <sz val="12"/>
            <color theme="1"/>
            <rFont val="新細明體"/>
            <family val="2"/>
            <scheme val="minor"/>
          </rPr>
          <t>作者:
新case</t>
        </r>
      </text>
    </comment>
    <comment ref="H24" authorId="0" shapeId="0" xr:uid="{00000000-0006-0000-0200-00000D000000}">
      <text>
        <r>
          <rPr>
            <sz val="12"/>
            <color theme="1"/>
            <rFont val="新細明體"/>
            <family val="2"/>
            <scheme val="minor"/>
          </rPr>
          <t>作者:
新case</t>
        </r>
      </text>
    </comment>
  </commentList>
</comments>
</file>

<file path=xl/sharedStrings.xml><?xml version="1.0" encoding="utf-8"?>
<sst xmlns="http://schemas.openxmlformats.org/spreadsheetml/2006/main" count="274" uniqueCount="97">
  <si>
    <t>廠區</t>
  </si>
  <si>
    <t>工程名稱</t>
  </si>
  <si>
    <t>訂單數量</t>
  </si>
  <si>
    <t>已出貨</t>
  </si>
  <si>
    <t>未出貨</t>
  </si>
  <si>
    <t>已安裝</t>
  </si>
  <si>
    <t>已出貨
待安裝</t>
  </si>
  <si>
    <t>4月份完成率</t>
  </si>
  <si>
    <t>5月份
完成率</t>
  </si>
  <si>
    <t>6月份
完成率</t>
  </si>
  <si>
    <t>7月份
完成率</t>
  </si>
  <si>
    <t>8月份
完成率</t>
  </si>
  <si>
    <t>9月份
完成率</t>
  </si>
  <si>
    <t>10月份
完成率</t>
  </si>
  <si>
    <t>11月份
完成率</t>
  </si>
  <si>
    <t>12月份
完成率</t>
  </si>
  <si>
    <t>(台數)</t>
  </si>
  <si>
    <t>T12</t>
  </si>
  <si>
    <t>光學尺</t>
  </si>
  <si>
    <t>防漏盛盤</t>
  </si>
  <si>
    <t>T12P8</t>
  </si>
  <si>
    <t>ASM光學尺</t>
  </si>
  <si>
    <t>待料</t>
  </si>
  <si>
    <t>T3</t>
  </si>
  <si>
    <t>MULTI裝機</t>
  </si>
  <si>
    <t>DNS裝機</t>
  </si>
  <si>
    <t>Waterproof Door Panel-DNS</t>
  </si>
  <si>
    <t>T5</t>
  </si>
  <si>
    <t>Mirra裝機</t>
  </si>
  <si>
    <t>T8</t>
  </si>
  <si>
    <t>Pressure Detector</t>
  </si>
  <si>
    <t>MULTI</t>
  </si>
  <si>
    <t>ONTRAK</t>
  </si>
  <si>
    <t>Jet pump</t>
  </si>
  <si>
    <t>T20</t>
  </si>
  <si>
    <t>UMC 8AB</t>
  </si>
  <si>
    <t>DDF3改機</t>
  </si>
  <si>
    <t>UMC 8C</t>
  </si>
  <si>
    <t>Multi</t>
  </si>
  <si>
    <t>UMC 8D</t>
  </si>
  <si>
    <t>UMC 8E</t>
  </si>
  <si>
    <t>UMC 8F</t>
  </si>
  <si>
    <t>VIS 2</t>
  </si>
  <si>
    <t>Flow Meter</t>
  </si>
  <si>
    <t>VIS 5</t>
  </si>
  <si>
    <t>ROLLER上拋</t>
  </si>
  <si>
    <t>VIS 1</t>
  </si>
  <si>
    <t>VIS3</t>
  </si>
  <si>
    <t>控制器更新</t>
  </si>
  <si>
    <t>12P7</t>
  </si>
  <si>
    <t>ASM</t>
  </si>
  <si>
    <t>F20</t>
  </si>
  <si>
    <t>AP03</t>
  </si>
  <si>
    <t>貼模機</t>
  </si>
  <si>
    <t>Die Attach Planarity Detection</t>
  </si>
  <si>
    <t>T12P6</t>
  </si>
  <si>
    <t>逸典</t>
  </si>
  <si>
    <t>總訂單數</t>
  </si>
  <si>
    <t>已出貨待安裝</t>
  </si>
  <si>
    <t>待出貨</t>
  </si>
  <si>
    <t>T15A</t>
  </si>
  <si>
    <t>心電圖</t>
  </si>
  <si>
    <t>15B</t>
  </si>
  <si>
    <t>DIW FLOW</t>
  </si>
  <si>
    <t>心電圖-EMMA</t>
  </si>
  <si>
    <t>心電圖-EXPRESS</t>
  </si>
  <si>
    <t>心電圖-EXTREME</t>
  </si>
  <si>
    <t>心電圖-Vector</t>
  </si>
  <si>
    <t>Heater Lift Pin</t>
  </si>
  <si>
    <t>風速偵測</t>
  </si>
  <si>
    <t>移機改機</t>
  </si>
  <si>
    <t>Upgrade:Vector</t>
  </si>
  <si>
    <t>心電圖-DNS</t>
  </si>
  <si>
    <t>T14A</t>
  </si>
  <si>
    <t>硫酸銅Pressure</t>
  </si>
  <si>
    <t>Relocation Leak detector</t>
  </si>
  <si>
    <t>T14B</t>
  </si>
  <si>
    <t>VALVE</t>
  </si>
  <si>
    <t>T18A</t>
  </si>
  <si>
    <t>T18B</t>
  </si>
  <si>
    <t>VIA SENSOR</t>
  </si>
  <si>
    <t>光學尺上拋改裝</t>
  </si>
  <si>
    <t>心電圖-TEL Tactras Vigus</t>
  </si>
  <si>
    <t>T22</t>
  </si>
  <si>
    <t>心電圖-TEL;LEAGA</t>
  </si>
  <si>
    <t>T6</t>
  </si>
  <si>
    <t>DNS</t>
  </si>
  <si>
    <t>AP08</t>
  </si>
  <si>
    <t>反射式光學尺安裝</t>
  </si>
  <si>
    <t>AP07</t>
  </si>
  <si>
    <t>定位安裝</t>
  </si>
  <si>
    <t>T16</t>
  </si>
  <si>
    <t>Jasm</t>
  </si>
  <si>
    <t>E sensor</t>
  </si>
  <si>
    <t>VIS SG</t>
  </si>
  <si>
    <t>X-Fab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</si>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</sst>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新細明體"/>
      <family val="2"/>
      <scheme val="minor"/>
    </font>
    <font>
      <b/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標楷體"/>
      <family val="4"/>
      <charset val="136"/>
    </font>
    <font>
      <b/>
      <sz val="12"/>
      <color theme="1"/>
      <name val="微軟正黑體"/>
      <family val="2"/>
      <charset val="136"/>
    </font>
    <font>
      <b/>
      <sz val="12"/>
      <color theme="1"/>
      <name val="新細明體"/>
      <family val="2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rgb="FF000000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rgb="FF000000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1" fillId="2" borderId="7" xfId="0" applyFont="1" applyFill="1" applyBorder="1" applyAlignment="1">
      <alignment horizontal="center" vertical="center" wrapText="1" readingOrder="1"/>
    </xf>
    <xf numFmtId="9" fontId="3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 readingOrder="1"/>
    </xf>
    <xf numFmtId="9" fontId="3" fillId="3" borderId="4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4" fillId="5" borderId="10" xfId="0" applyFont="1" applyFill="1" applyBorder="1"/>
    <xf numFmtId="0" fontId="3" fillId="2" borderId="11" xfId="0" applyFont="1" applyFill="1" applyBorder="1"/>
    <xf numFmtId="0" fontId="4" fillId="5" borderId="12" xfId="0" applyFont="1" applyFill="1" applyBorder="1"/>
    <xf numFmtId="0" fontId="3" fillId="2" borderId="13" xfId="0" applyFont="1" applyFill="1" applyBorder="1"/>
    <xf numFmtId="0" fontId="5" fillId="0" borderId="4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1" fillId="2" borderId="14" xfId="0" applyFont="1" applyFill="1" applyBorder="1" applyAlignment="1">
      <alignment horizontal="center" vertical="center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1" fillId="0" borderId="16" xfId="0" applyFont="1" applyBorder="1" applyAlignment="1">
      <alignment horizontal="center" vertical="center" wrapText="1" readingOrder="1"/>
    </xf>
    <xf numFmtId="9" fontId="3" fillId="4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 readingOrder="1"/>
    </xf>
    <xf numFmtId="0" fontId="1" fillId="6" borderId="1" xfId="0" applyFont="1" applyFill="1" applyBorder="1" applyAlignment="1">
      <alignment horizontal="center" vertical="center" wrapText="1" readingOrder="1"/>
    </xf>
    <xf numFmtId="0" fontId="5" fillId="6" borderId="1" xfId="0" applyFont="1" applyFill="1" applyBorder="1" applyAlignment="1">
      <alignment horizontal="center" vertical="center" wrapText="1" readingOrder="1"/>
    </xf>
    <xf numFmtId="9" fontId="3" fillId="6" borderId="1" xfId="0" applyNumberFormat="1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 wrapText="1" readingOrder="1"/>
    </xf>
    <xf numFmtId="0" fontId="1" fillId="6" borderId="2" xfId="0" applyFont="1" applyFill="1" applyBorder="1" applyAlignment="1">
      <alignment horizontal="center" vertical="center" wrapText="1" readingOrder="1"/>
    </xf>
    <xf numFmtId="0" fontId="5" fillId="6" borderId="4" xfId="0" applyFont="1" applyFill="1" applyBorder="1" applyAlignment="1">
      <alignment horizontal="center" vertical="center" wrapText="1" readingOrder="1"/>
    </xf>
    <xf numFmtId="0" fontId="1" fillId="6" borderId="4" xfId="0" applyFont="1" applyFill="1" applyBorder="1" applyAlignment="1">
      <alignment horizontal="center" vertical="center" wrapText="1" readingOrder="1"/>
    </xf>
    <xf numFmtId="0" fontId="1" fillId="6" borderId="6" xfId="0" applyFont="1" applyFill="1" applyBorder="1" applyAlignment="1">
      <alignment horizontal="center" vertical="center" wrapText="1" readingOrder="1"/>
    </xf>
    <xf numFmtId="9" fontId="3" fillId="4" borderId="16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 readingOrder="1"/>
    </xf>
    <xf numFmtId="0" fontId="5" fillId="4" borderId="4" xfId="0" applyFont="1" applyFill="1" applyBorder="1" applyAlignment="1">
      <alignment horizontal="center" vertical="center" wrapText="1" readingOrder="1"/>
    </xf>
    <xf numFmtId="0" fontId="1" fillId="4" borderId="4" xfId="0" applyFont="1" applyFill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 readingOrder="1"/>
    </xf>
    <xf numFmtId="0" fontId="1" fillId="7" borderId="4" xfId="0" applyFont="1" applyFill="1" applyBorder="1" applyAlignment="1">
      <alignment horizontal="center" vertical="center" wrapText="1" readingOrder="1"/>
    </xf>
    <xf numFmtId="0" fontId="1" fillId="7" borderId="17" xfId="0" applyFont="1" applyFill="1" applyBorder="1" applyAlignment="1">
      <alignment horizontal="center" vertical="center" wrapText="1" readingOrder="1"/>
    </xf>
    <xf numFmtId="9" fontId="3" fillId="7" borderId="16" xfId="0" applyNumberFormat="1" applyFont="1" applyFill="1" applyBorder="1" applyAlignment="1">
      <alignment horizontal="center" vertical="center"/>
    </xf>
    <xf numFmtId="9" fontId="3" fillId="0" borderId="16" xfId="0" applyNumberFormat="1" applyFont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9" fontId="3" fillId="3" borderId="17" xfId="0" applyNumberFormat="1" applyFont="1" applyFill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9" fontId="3" fillId="4" borderId="17" xfId="0" applyNumberFormat="1" applyFont="1" applyFill="1" applyBorder="1" applyAlignment="1">
      <alignment horizontal="center" vertical="center"/>
    </xf>
    <xf numFmtId="9" fontId="3" fillId="5" borderId="17" xfId="0" applyNumberFormat="1" applyFont="1" applyFill="1" applyBorder="1" applyAlignment="1">
      <alignment horizontal="center" vertical="center"/>
    </xf>
    <xf numFmtId="9" fontId="3" fillId="7" borderId="17" xfId="0" applyNumberFormat="1" applyFont="1" applyFill="1" applyBorder="1" applyAlignment="1">
      <alignment horizontal="center" vertical="center"/>
    </xf>
    <xf numFmtId="0" fontId="0" fillId="0" borderId="1" xfId="0" applyBorder="1"/>
    <xf numFmtId="0" fontId="1" fillId="0" borderId="20" xfId="0" applyFont="1" applyBorder="1" applyAlignment="1">
      <alignment horizontal="center" vertical="center" wrapText="1" readingOrder="1"/>
    </xf>
    <xf numFmtId="0" fontId="5" fillId="0" borderId="20" xfId="0" applyFont="1" applyBorder="1" applyAlignment="1">
      <alignment horizontal="center" vertical="center" wrapText="1" readingOrder="1"/>
    </xf>
    <xf numFmtId="9" fontId="3" fillId="0" borderId="20" xfId="0" applyNumberFormat="1" applyFont="1" applyBorder="1" applyAlignment="1">
      <alignment horizontal="center" vertical="center"/>
    </xf>
    <xf numFmtId="0" fontId="0" fillId="0" borderId="20" xfId="0" applyBorder="1"/>
    <xf numFmtId="0" fontId="7" fillId="0" borderId="20" xfId="0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vertical="center" wrapText="1" readingOrder="1"/>
    </xf>
    <xf numFmtId="9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/>
    <xf numFmtId="0" fontId="9" fillId="0" borderId="22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9" fillId="0" borderId="23" xfId="0" applyFont="1" applyBorder="1" applyAlignment="1">
      <alignment horizontal="center" vertical="center" wrapText="1" readingOrder="1"/>
    </xf>
    <xf numFmtId="9" fontId="10" fillId="0" borderId="23" xfId="0" applyNumberFormat="1" applyFont="1" applyBorder="1" applyAlignment="1">
      <alignment horizontal="center" vertical="center"/>
    </xf>
    <xf numFmtId="0" fontId="10" fillId="0" borderId="24" xfId="0" applyFont="1" applyBorder="1"/>
    <xf numFmtId="0" fontId="9" fillId="0" borderId="5" xfId="0" applyFont="1" applyBorder="1" applyAlignment="1">
      <alignment horizontal="center" vertical="center" wrapText="1" readingOrder="1"/>
    </xf>
    <xf numFmtId="9" fontId="10" fillId="0" borderId="25" xfId="0" applyNumberFormat="1" applyFont="1" applyBorder="1" applyAlignment="1">
      <alignment horizontal="center" vertical="center"/>
    </xf>
    <xf numFmtId="9" fontId="10" fillId="0" borderId="26" xfId="0" applyNumberFormat="1" applyFont="1" applyBorder="1" applyAlignment="1">
      <alignment horizontal="center" vertical="center"/>
    </xf>
    <xf numFmtId="9" fontId="10" fillId="0" borderId="27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 readingOrder="1"/>
    </xf>
    <xf numFmtId="0" fontId="11" fillId="0" borderId="4" xfId="0" applyFont="1" applyBorder="1" applyAlignment="1">
      <alignment horizontal="center" vertical="center" wrapText="1" readingOrder="1"/>
    </xf>
    <xf numFmtId="9" fontId="12" fillId="0" borderId="28" xfId="0" applyNumberFormat="1" applyFont="1" applyBorder="1" applyAlignment="1">
      <alignment horizontal="center" vertical="center"/>
    </xf>
    <xf numFmtId="0" fontId="12" fillId="0" borderId="29" xfId="0" applyFont="1" applyBorder="1"/>
    <xf numFmtId="0" fontId="1" fillId="0" borderId="29" xfId="0" applyFont="1" applyBorder="1" applyAlignment="1">
      <alignment horizontal="center" vertical="center" wrapText="1" readingOrder="1"/>
    </xf>
    <xf numFmtId="0" fontId="5" fillId="0" borderId="29" xfId="0" applyFont="1" applyBorder="1" applyAlignment="1">
      <alignment horizontal="center" vertical="center" wrapText="1" readingOrder="1"/>
    </xf>
    <xf numFmtId="9" fontId="3" fillId="3" borderId="29" xfId="0" applyNumberFormat="1" applyFont="1" applyFill="1" applyBorder="1" applyAlignment="1">
      <alignment horizontal="center" vertical="center"/>
    </xf>
    <xf numFmtId="9" fontId="13" fillId="3" borderId="17" xfId="0" applyNumberFormat="1" applyFont="1" applyFill="1" applyBorder="1" applyAlignment="1">
      <alignment horizontal="center" vertical="center"/>
    </xf>
    <xf numFmtId="9" fontId="13" fillId="0" borderId="6" xfId="0" applyNumberFormat="1" applyFont="1" applyBorder="1" applyAlignment="1">
      <alignment horizontal="center" vertical="center"/>
    </xf>
    <xf numFmtId="9" fontId="13" fillId="4" borderId="17" xfId="0" applyNumberFormat="1" applyFont="1" applyFill="1" applyBorder="1" applyAlignment="1">
      <alignment horizontal="center" vertical="center"/>
    </xf>
    <xf numFmtId="9" fontId="13" fillId="5" borderId="17" xfId="0" applyNumberFormat="1" applyFont="1" applyFill="1" applyBorder="1" applyAlignment="1">
      <alignment horizontal="center" vertical="center"/>
    </xf>
    <xf numFmtId="9" fontId="13" fillId="0" borderId="29" xfId="0" applyNumberFormat="1" applyFont="1" applyBorder="1" applyAlignment="1">
      <alignment horizontal="center" vertical="center"/>
    </xf>
    <xf numFmtId="9" fontId="13" fillId="7" borderId="17" xfId="0" applyNumberFormat="1" applyFont="1" applyFill="1" applyBorder="1" applyAlignment="1">
      <alignment horizontal="center" vertical="center"/>
    </xf>
    <xf numFmtId="9" fontId="13" fillId="0" borderId="17" xfId="0" applyNumberFormat="1" applyFont="1" applyBorder="1" applyAlignment="1">
      <alignment horizontal="center" vertical="center"/>
    </xf>
    <xf numFmtId="9" fontId="13" fillId="3" borderId="29" xfId="0" applyNumberFormat="1" applyFont="1" applyFill="1" applyBorder="1" applyAlignment="1">
      <alignment horizontal="center" vertical="center"/>
    </xf>
    <xf numFmtId="9" fontId="13" fillId="5" borderId="29" xfId="0" applyNumberFormat="1" applyFont="1" applyFill="1" applyBorder="1" applyAlignment="1">
      <alignment horizontal="center" vertical="center"/>
    </xf>
    <xf numFmtId="9" fontId="13" fillId="4" borderId="29" xfId="0" applyNumberFormat="1" applyFont="1" applyFill="1" applyBorder="1" applyAlignment="1">
      <alignment horizontal="center" vertical="center"/>
    </xf>
    <xf numFmtId="9" fontId="13" fillId="7" borderId="29" xfId="0" applyNumberFormat="1" applyFont="1" applyFill="1" applyBorder="1" applyAlignment="1">
      <alignment horizontal="center" vertical="center"/>
    </xf>
    <xf numFmtId="9" fontId="13" fillId="0" borderId="4" xfId="0" applyNumberFormat="1" applyFont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 wrapText="1" readingOrder="1"/>
    </xf>
    <xf numFmtId="0" fontId="0" fillId="0" borderId="4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18" xfId="0" applyBorder="1"/>
    <xf numFmtId="0" fontId="3" fillId="2" borderId="19" xfId="0" applyFont="1" applyFill="1" applyBorder="1" applyAlignment="1">
      <alignment horizontal="center" vertical="center" wrapText="1"/>
    </xf>
    <xf numFmtId="0" fontId="0" fillId="0" borderId="9" xfId="0" applyBorder="1"/>
    <xf numFmtId="0" fontId="1" fillId="2" borderId="19" xfId="0" applyFont="1" applyFill="1" applyBorder="1" applyAlignment="1">
      <alignment horizontal="center"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opLeftCell="A20" workbookViewId="0">
      <selection activeCell="L36" sqref="L36"/>
    </sheetView>
  </sheetViews>
  <sheetFormatPr defaultRowHeight="16.2"/>
  <cols>
    <col min="1" max="1" width="13.44140625" customWidth="1"/>
    <col min="2" max="2" width="15.6640625" customWidth="1"/>
    <col min="8" max="8" width="7.77734375" customWidth="1"/>
    <col min="9" max="9" width="7.77734375" bestFit="1" customWidth="1"/>
  </cols>
  <sheetData>
    <row r="1" spans="1:16" ht="31.2" customHeight="1">
      <c r="A1" s="88" t="s">
        <v>0</v>
      </c>
      <c r="B1" s="88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9" t="s">
        <v>6</v>
      </c>
      <c r="H1" s="94" t="s">
        <v>7</v>
      </c>
      <c r="I1" s="92" t="s">
        <v>8</v>
      </c>
      <c r="J1" s="92" t="s">
        <v>9</v>
      </c>
      <c r="K1" s="90" t="s">
        <v>10</v>
      </c>
      <c r="L1" s="90" t="s">
        <v>11</v>
      </c>
      <c r="M1" s="90" t="s">
        <v>12</v>
      </c>
      <c r="N1" s="90" t="s">
        <v>13</v>
      </c>
      <c r="O1" s="90" t="s">
        <v>14</v>
      </c>
      <c r="P1" s="90" t="s">
        <v>15</v>
      </c>
    </row>
    <row r="2" spans="1:16" ht="16.8" customHeight="1" thickBot="1">
      <c r="A2" s="89"/>
      <c r="B2" s="89"/>
      <c r="C2" s="2" t="s">
        <v>16</v>
      </c>
      <c r="D2" s="2" t="s">
        <v>16</v>
      </c>
      <c r="E2" s="2" t="s">
        <v>16</v>
      </c>
      <c r="F2" s="8" t="s">
        <v>16</v>
      </c>
      <c r="G2" s="20" t="s">
        <v>16</v>
      </c>
      <c r="H2" s="93"/>
      <c r="I2" s="93"/>
      <c r="J2" s="93"/>
      <c r="K2" s="91"/>
      <c r="L2" s="91"/>
      <c r="M2" s="91"/>
      <c r="N2" s="91"/>
      <c r="O2" s="91"/>
      <c r="P2" s="91"/>
    </row>
    <row r="3" spans="1:16" ht="16.8" customHeight="1" thickTop="1">
      <c r="A3" s="3" t="s">
        <v>17</v>
      </c>
      <c r="B3" s="3" t="s">
        <v>18</v>
      </c>
      <c r="C3" s="3">
        <v>4</v>
      </c>
      <c r="D3" s="3">
        <v>2</v>
      </c>
      <c r="E3" s="3">
        <f>C3-D3</f>
        <v>2</v>
      </c>
      <c r="F3" s="3">
        <v>0</v>
      </c>
      <c r="G3" s="3">
        <f>D3-F3</f>
        <v>2</v>
      </c>
      <c r="H3" s="11">
        <v>0</v>
      </c>
      <c r="I3" s="11">
        <v>0</v>
      </c>
      <c r="J3" s="46">
        <v>0</v>
      </c>
      <c r="K3" s="76">
        <f t="shared" ref="K3:K32" si="0">IF(D3=0, "待料", F3/D3)</f>
        <v>0</v>
      </c>
      <c r="L3" s="51"/>
      <c r="M3" s="51"/>
      <c r="N3" s="51"/>
      <c r="O3" s="51"/>
      <c r="P3" s="51"/>
    </row>
    <row r="4" spans="1:16">
      <c r="A4" s="3" t="s">
        <v>17</v>
      </c>
      <c r="B4" s="6" t="s">
        <v>19</v>
      </c>
      <c r="C4" s="3">
        <v>2</v>
      </c>
      <c r="D4" s="3">
        <v>2</v>
      </c>
      <c r="E4" s="3">
        <f>C4-D4</f>
        <v>0</v>
      </c>
      <c r="F4" s="3">
        <v>0</v>
      </c>
      <c r="G4" s="3">
        <f>D4-F4</f>
        <v>2</v>
      </c>
      <c r="H4" s="34"/>
      <c r="I4" s="34"/>
      <c r="J4" s="46">
        <v>0</v>
      </c>
      <c r="K4" s="76">
        <f t="shared" si="0"/>
        <v>0</v>
      </c>
      <c r="L4" s="51"/>
      <c r="M4" s="51"/>
      <c r="N4" s="51"/>
      <c r="O4" s="51"/>
      <c r="P4" s="51"/>
    </row>
    <row r="5" spans="1:16">
      <c r="A5" s="3" t="s">
        <v>20</v>
      </c>
      <c r="B5" s="5" t="s">
        <v>21</v>
      </c>
      <c r="C5" s="3">
        <v>1</v>
      </c>
      <c r="D5" s="3">
        <v>0</v>
      </c>
      <c r="E5" s="3">
        <f>C5-D5</f>
        <v>1</v>
      </c>
      <c r="F5" s="3">
        <v>0</v>
      </c>
      <c r="G5" s="3">
        <f>D5-F5</f>
        <v>0</v>
      </c>
      <c r="H5" s="21"/>
      <c r="I5" s="9" t="s">
        <v>22</v>
      </c>
      <c r="J5" s="47" t="s">
        <v>22</v>
      </c>
      <c r="K5" s="77" t="str">
        <f t="shared" si="0"/>
        <v>待料</v>
      </c>
      <c r="L5" s="51"/>
      <c r="M5" s="51"/>
      <c r="N5" s="51"/>
      <c r="O5" s="51"/>
      <c r="P5" s="51"/>
    </row>
    <row r="6" spans="1:16">
      <c r="A6" s="10" t="s">
        <v>23</v>
      </c>
      <c r="B6" s="10" t="s">
        <v>24</v>
      </c>
      <c r="C6" s="10">
        <v>14</v>
      </c>
      <c r="D6" s="10">
        <v>12</v>
      </c>
      <c r="E6" s="17">
        <v>2</v>
      </c>
      <c r="F6" s="10">
        <v>10</v>
      </c>
      <c r="G6" s="17">
        <v>2</v>
      </c>
      <c r="H6" s="9">
        <v>1</v>
      </c>
      <c r="I6" s="9">
        <v>1</v>
      </c>
      <c r="J6" s="48">
        <v>0.83333333333333337</v>
      </c>
      <c r="K6" s="78">
        <f t="shared" si="0"/>
        <v>0.83333333333333337</v>
      </c>
      <c r="L6" s="51"/>
      <c r="M6" s="51"/>
      <c r="N6" s="51"/>
      <c r="O6" s="51"/>
      <c r="P6" s="51"/>
    </row>
    <row r="7" spans="1:16">
      <c r="A7" s="52" t="s">
        <v>23</v>
      </c>
      <c r="B7" s="52" t="s">
        <v>25</v>
      </c>
      <c r="C7" s="52">
        <v>14</v>
      </c>
      <c r="D7" s="52">
        <v>6</v>
      </c>
      <c r="E7" s="53">
        <v>8</v>
      </c>
      <c r="F7" s="52">
        <v>4</v>
      </c>
      <c r="G7" s="53">
        <v>2</v>
      </c>
      <c r="H7" s="54">
        <v>1</v>
      </c>
      <c r="I7" s="54">
        <v>1</v>
      </c>
      <c r="J7" s="47">
        <v>1</v>
      </c>
      <c r="K7" s="77">
        <f t="shared" si="0"/>
        <v>0.66666666666666663</v>
      </c>
      <c r="L7" s="51"/>
      <c r="M7" s="51"/>
      <c r="N7" s="51"/>
      <c r="O7" s="51"/>
      <c r="P7" s="51"/>
    </row>
    <row r="8" spans="1:16" ht="46.8" customHeight="1">
      <c r="A8" s="60" t="s">
        <v>23</v>
      </c>
      <c r="B8" s="60" t="s">
        <v>26</v>
      </c>
      <c r="C8" s="60">
        <v>1</v>
      </c>
      <c r="D8" s="60">
        <v>0</v>
      </c>
      <c r="E8" s="60">
        <v>1</v>
      </c>
      <c r="F8" s="60">
        <v>0</v>
      </c>
      <c r="G8" s="60">
        <v>0</v>
      </c>
      <c r="H8" s="63"/>
      <c r="I8" s="63"/>
      <c r="J8" s="67"/>
      <c r="K8" s="77" t="str">
        <f t="shared" si="0"/>
        <v>待料</v>
      </c>
      <c r="L8" s="64"/>
      <c r="M8" s="64"/>
      <c r="N8" s="64"/>
      <c r="O8" s="64"/>
      <c r="P8" s="64"/>
    </row>
    <row r="9" spans="1:16">
      <c r="A9" s="4" t="s">
        <v>27</v>
      </c>
      <c r="B9" s="4" t="s">
        <v>28</v>
      </c>
      <c r="C9" s="4">
        <v>3</v>
      </c>
      <c r="D9" s="4">
        <v>3</v>
      </c>
      <c r="E9" s="17">
        <f>C9-D9</f>
        <v>0</v>
      </c>
      <c r="F9" s="4">
        <v>1</v>
      </c>
      <c r="G9" s="17">
        <f>D9-F9</f>
        <v>2</v>
      </c>
      <c r="H9" s="12">
        <v>0</v>
      </c>
      <c r="I9" s="12">
        <v>0.33</v>
      </c>
      <c r="J9" s="46">
        <v>0.33333333333333331</v>
      </c>
      <c r="K9" s="76">
        <f t="shared" si="0"/>
        <v>0.33333333333333331</v>
      </c>
      <c r="L9" s="51"/>
      <c r="M9" s="51"/>
      <c r="N9" s="51"/>
      <c r="O9" s="51"/>
      <c r="P9" s="51"/>
    </row>
    <row r="10" spans="1:16" ht="31.2" customHeight="1">
      <c r="A10" s="4" t="s">
        <v>27</v>
      </c>
      <c r="B10" s="4" t="s">
        <v>25</v>
      </c>
      <c r="C10" s="4">
        <v>5</v>
      </c>
      <c r="D10" s="4">
        <v>5</v>
      </c>
      <c r="E10" s="17">
        <f>C10-D10</f>
        <v>0</v>
      </c>
      <c r="F10" s="4">
        <v>0</v>
      </c>
      <c r="G10" s="17">
        <f>D10-F10</f>
        <v>5</v>
      </c>
      <c r="H10" s="12">
        <v>0</v>
      </c>
      <c r="I10" s="12">
        <v>0</v>
      </c>
      <c r="J10" s="46">
        <v>0</v>
      </c>
      <c r="K10" s="76">
        <f t="shared" si="0"/>
        <v>0</v>
      </c>
      <c r="L10" s="51"/>
      <c r="M10" s="51"/>
      <c r="N10" s="51"/>
      <c r="O10" s="51"/>
      <c r="P10" s="51"/>
    </row>
    <row r="11" spans="1:16" ht="31.2" customHeight="1">
      <c r="A11" s="4" t="s">
        <v>29</v>
      </c>
      <c r="B11" s="4" t="s">
        <v>30</v>
      </c>
      <c r="C11" s="4">
        <v>1</v>
      </c>
      <c r="D11" s="4">
        <v>1</v>
      </c>
      <c r="E11" s="17">
        <f>C11-D11</f>
        <v>0</v>
      </c>
      <c r="F11" s="4">
        <v>0</v>
      </c>
      <c r="G11" s="17">
        <f>D11-F11</f>
        <v>1</v>
      </c>
      <c r="H11" s="12">
        <v>0</v>
      </c>
      <c r="I11" s="12">
        <v>0</v>
      </c>
      <c r="J11" s="46">
        <v>0</v>
      </c>
      <c r="K11" s="76">
        <f t="shared" si="0"/>
        <v>0</v>
      </c>
      <c r="L11" s="51"/>
      <c r="M11" s="51"/>
      <c r="N11" s="51"/>
      <c r="O11" s="51"/>
      <c r="P11" s="51"/>
    </row>
    <row r="12" spans="1:16">
      <c r="A12" s="3" t="s">
        <v>29</v>
      </c>
      <c r="B12" s="3" t="s">
        <v>31</v>
      </c>
      <c r="C12" s="3">
        <v>13</v>
      </c>
      <c r="D12" s="3">
        <v>13</v>
      </c>
      <c r="E12" s="17">
        <f>C12-D12</f>
        <v>0</v>
      </c>
      <c r="F12" s="3">
        <v>13</v>
      </c>
      <c r="G12" s="17">
        <f>D12-F12</f>
        <v>0</v>
      </c>
      <c r="H12" s="9">
        <v>1</v>
      </c>
      <c r="I12" s="9">
        <v>1</v>
      </c>
      <c r="J12" s="48">
        <v>1</v>
      </c>
      <c r="K12" s="78">
        <f t="shared" si="0"/>
        <v>1</v>
      </c>
      <c r="L12" s="51"/>
      <c r="M12" s="51"/>
      <c r="N12" s="51"/>
      <c r="O12" s="51"/>
      <c r="P12" s="51"/>
    </row>
    <row r="13" spans="1:16" ht="31.2" customHeight="1">
      <c r="A13" s="26" t="s">
        <v>29</v>
      </c>
      <c r="B13" s="26" t="s">
        <v>32</v>
      </c>
      <c r="C13" s="26">
        <v>10</v>
      </c>
      <c r="D13" s="26">
        <v>10</v>
      </c>
      <c r="E13" s="31">
        <f>C13-D13</f>
        <v>0</v>
      </c>
      <c r="F13" s="26">
        <v>5</v>
      </c>
      <c r="G13" s="31">
        <f>D13-F13</f>
        <v>5</v>
      </c>
      <c r="H13" s="28">
        <v>0.4</v>
      </c>
      <c r="I13" s="28">
        <v>0.5</v>
      </c>
      <c r="J13" s="49">
        <v>0.5</v>
      </c>
      <c r="K13" s="79">
        <f t="shared" si="0"/>
        <v>0.5</v>
      </c>
      <c r="L13" s="51"/>
      <c r="M13" s="51"/>
      <c r="N13" s="51"/>
      <c r="O13" s="51"/>
      <c r="P13" s="51"/>
    </row>
    <row r="14" spans="1:16">
      <c r="A14" s="4" t="s">
        <v>29</v>
      </c>
      <c r="B14" s="4" t="s">
        <v>33</v>
      </c>
      <c r="C14" s="4">
        <v>1</v>
      </c>
      <c r="D14" s="4">
        <v>1</v>
      </c>
      <c r="E14" s="17">
        <v>0</v>
      </c>
      <c r="F14" s="4">
        <v>0</v>
      </c>
      <c r="G14" s="17">
        <v>1</v>
      </c>
      <c r="H14" s="21"/>
      <c r="I14" s="9" t="s">
        <v>22</v>
      </c>
      <c r="J14" s="47" t="s">
        <v>22</v>
      </c>
      <c r="K14" s="77">
        <f t="shared" si="0"/>
        <v>0</v>
      </c>
      <c r="L14" s="51"/>
      <c r="M14" s="51"/>
      <c r="N14" s="51"/>
      <c r="O14" s="51"/>
      <c r="P14" s="51"/>
    </row>
    <row r="15" spans="1:16" ht="31.2" customHeight="1">
      <c r="A15" s="4" t="s">
        <v>34</v>
      </c>
      <c r="B15" s="4" t="s">
        <v>18</v>
      </c>
      <c r="C15" s="4">
        <v>35</v>
      </c>
      <c r="D15" s="4">
        <v>26</v>
      </c>
      <c r="E15" s="17">
        <v>9</v>
      </c>
      <c r="F15" s="4">
        <v>26</v>
      </c>
      <c r="G15" s="17">
        <v>0</v>
      </c>
      <c r="H15" s="9">
        <v>0.88</v>
      </c>
      <c r="I15" s="9">
        <v>0.88</v>
      </c>
      <c r="J15" s="9">
        <v>1</v>
      </c>
      <c r="K15" s="80">
        <f t="shared" si="0"/>
        <v>1</v>
      </c>
      <c r="L15" s="55"/>
      <c r="M15" s="55"/>
      <c r="N15" s="55"/>
      <c r="O15" s="55"/>
      <c r="P15" s="55"/>
    </row>
    <row r="16" spans="1:16">
      <c r="A16" s="4" t="s">
        <v>35</v>
      </c>
      <c r="B16" s="4" t="s">
        <v>36</v>
      </c>
      <c r="C16" s="4">
        <v>9</v>
      </c>
      <c r="D16" s="4">
        <v>7</v>
      </c>
      <c r="E16" s="17">
        <v>2</v>
      </c>
      <c r="F16" s="4">
        <v>6</v>
      </c>
      <c r="G16" s="17">
        <v>1</v>
      </c>
      <c r="H16" s="9">
        <v>1</v>
      </c>
      <c r="I16" s="9">
        <v>0.83</v>
      </c>
      <c r="J16" s="48">
        <v>0.83333333333333337</v>
      </c>
      <c r="K16" s="78">
        <f t="shared" si="0"/>
        <v>0.8571428571428571</v>
      </c>
      <c r="L16" s="51"/>
      <c r="M16" s="51"/>
      <c r="N16" s="51"/>
      <c r="O16" s="51"/>
      <c r="P16" s="51"/>
    </row>
    <row r="17" spans="1:16">
      <c r="A17" s="4" t="s">
        <v>37</v>
      </c>
      <c r="B17" s="4" t="s">
        <v>36</v>
      </c>
      <c r="C17" s="4">
        <v>11</v>
      </c>
      <c r="D17" s="4">
        <v>10</v>
      </c>
      <c r="E17" s="17">
        <f>C17-D17</f>
        <v>1</v>
      </c>
      <c r="F17" s="4">
        <v>8</v>
      </c>
      <c r="G17" s="17">
        <f>D17-F17</f>
        <v>2</v>
      </c>
      <c r="H17" s="9">
        <v>1</v>
      </c>
      <c r="I17" s="9">
        <v>0.8</v>
      </c>
      <c r="J17" s="48">
        <v>0.8</v>
      </c>
      <c r="K17" s="78">
        <f t="shared" si="0"/>
        <v>0.8</v>
      </c>
      <c r="L17" s="51"/>
      <c r="M17" s="51"/>
      <c r="N17" s="51"/>
      <c r="O17" s="51"/>
      <c r="P17" s="51"/>
    </row>
    <row r="18" spans="1:16">
      <c r="A18" s="4" t="s">
        <v>37</v>
      </c>
      <c r="B18" s="4" t="s">
        <v>38</v>
      </c>
      <c r="C18" s="4">
        <v>4</v>
      </c>
      <c r="D18" s="4">
        <v>3</v>
      </c>
      <c r="E18" s="17">
        <f>C18-D18</f>
        <v>1</v>
      </c>
      <c r="F18" s="5">
        <v>0</v>
      </c>
      <c r="G18" s="17">
        <f>D18-F18</f>
        <v>3</v>
      </c>
      <c r="H18" s="9" t="s">
        <v>22</v>
      </c>
      <c r="I18" s="12">
        <v>0</v>
      </c>
      <c r="J18" s="46">
        <v>0</v>
      </c>
      <c r="K18" s="76">
        <f t="shared" si="0"/>
        <v>0</v>
      </c>
      <c r="L18" s="51"/>
      <c r="M18" s="51"/>
      <c r="N18" s="51"/>
      <c r="O18" s="51"/>
      <c r="P18" s="51"/>
    </row>
    <row r="19" spans="1:16">
      <c r="A19" s="4" t="s">
        <v>39</v>
      </c>
      <c r="B19" s="4" t="s">
        <v>36</v>
      </c>
      <c r="C19" s="4">
        <v>8</v>
      </c>
      <c r="D19" s="4">
        <v>5</v>
      </c>
      <c r="E19" s="17">
        <f>C19-D19</f>
        <v>3</v>
      </c>
      <c r="F19" s="4">
        <v>0</v>
      </c>
      <c r="G19" s="17">
        <f>D19-F19</f>
        <v>5</v>
      </c>
      <c r="H19" s="12">
        <v>0</v>
      </c>
      <c r="I19" s="12">
        <v>0</v>
      </c>
      <c r="J19" s="46">
        <v>0</v>
      </c>
      <c r="K19" s="76">
        <f t="shared" si="0"/>
        <v>0</v>
      </c>
      <c r="L19" s="51"/>
      <c r="M19" s="51"/>
      <c r="N19" s="51"/>
      <c r="O19" s="51"/>
      <c r="P19" s="51"/>
    </row>
    <row r="20" spans="1:16">
      <c r="A20" s="4" t="s">
        <v>40</v>
      </c>
      <c r="B20" s="4" t="s">
        <v>36</v>
      </c>
      <c r="C20" s="4">
        <v>10</v>
      </c>
      <c r="D20" s="4">
        <v>8</v>
      </c>
      <c r="E20" s="17">
        <f>C20-D20</f>
        <v>2</v>
      </c>
      <c r="F20" s="3">
        <v>7</v>
      </c>
      <c r="G20" s="17">
        <f>D20-F20</f>
        <v>1</v>
      </c>
      <c r="H20" s="9">
        <v>1</v>
      </c>
      <c r="I20" s="9">
        <v>0.88</v>
      </c>
      <c r="J20" s="48">
        <v>0.875</v>
      </c>
      <c r="K20" s="78">
        <f t="shared" si="0"/>
        <v>0.875</v>
      </c>
      <c r="L20" s="51"/>
      <c r="M20" s="51"/>
      <c r="N20" s="51"/>
      <c r="O20" s="51"/>
      <c r="P20" s="51"/>
    </row>
    <row r="21" spans="1:16">
      <c r="A21" s="4" t="s">
        <v>41</v>
      </c>
      <c r="B21" s="4" t="s">
        <v>36</v>
      </c>
      <c r="C21" s="4">
        <v>6</v>
      </c>
      <c r="D21" s="4">
        <v>0</v>
      </c>
      <c r="E21" s="17">
        <f>C21-D21</f>
        <v>6</v>
      </c>
      <c r="F21" s="4">
        <v>0</v>
      </c>
      <c r="G21" s="17">
        <f>D21-F21</f>
        <v>0</v>
      </c>
      <c r="H21" s="9" t="s">
        <v>22</v>
      </c>
      <c r="I21" s="9" t="s">
        <v>22</v>
      </c>
      <c r="J21" s="47" t="s">
        <v>22</v>
      </c>
      <c r="K21" s="77" t="str">
        <f t="shared" si="0"/>
        <v>待料</v>
      </c>
      <c r="L21" s="51"/>
      <c r="M21" s="51"/>
      <c r="N21" s="51"/>
      <c r="O21" s="51"/>
      <c r="P21" s="51"/>
    </row>
    <row r="22" spans="1:16">
      <c r="A22" s="30" t="s">
        <v>42</v>
      </c>
      <c r="B22" s="30" t="s">
        <v>43</v>
      </c>
      <c r="C22" s="30">
        <v>8</v>
      </c>
      <c r="D22" s="30">
        <v>8</v>
      </c>
      <c r="E22" s="31">
        <v>0</v>
      </c>
      <c r="F22" s="30">
        <v>7</v>
      </c>
      <c r="G22" s="31">
        <v>1</v>
      </c>
      <c r="H22" s="28">
        <v>0.67</v>
      </c>
      <c r="I22" s="28">
        <v>0.83</v>
      </c>
      <c r="J22" s="50">
        <v>0.75</v>
      </c>
      <c r="K22" s="81">
        <f t="shared" si="0"/>
        <v>0.875</v>
      </c>
      <c r="L22" s="51"/>
      <c r="M22" s="51"/>
      <c r="N22" s="51"/>
      <c r="O22" s="51"/>
      <c r="P22" s="51"/>
    </row>
    <row r="23" spans="1:16">
      <c r="A23" s="4" t="s">
        <v>44</v>
      </c>
      <c r="B23" s="4" t="s">
        <v>38</v>
      </c>
      <c r="C23" s="4">
        <v>14</v>
      </c>
      <c r="D23" s="4">
        <v>14</v>
      </c>
      <c r="E23" s="17">
        <f>C23-D23</f>
        <v>0</v>
      </c>
      <c r="F23" s="4">
        <v>14</v>
      </c>
      <c r="G23" s="17">
        <f>D23-F23</f>
        <v>0</v>
      </c>
      <c r="H23" s="9">
        <v>1</v>
      </c>
      <c r="I23" s="9">
        <v>1</v>
      </c>
      <c r="J23" s="48">
        <v>1</v>
      </c>
      <c r="K23" s="78">
        <f t="shared" si="0"/>
        <v>1</v>
      </c>
      <c r="L23" s="51"/>
      <c r="M23" s="51"/>
      <c r="N23" s="51"/>
      <c r="O23" s="51"/>
      <c r="P23" s="51"/>
    </row>
    <row r="24" spans="1:16">
      <c r="A24" s="26" t="s">
        <v>44</v>
      </c>
      <c r="B24" s="26" t="s">
        <v>45</v>
      </c>
      <c r="C24" s="26">
        <v>5</v>
      </c>
      <c r="D24" s="26">
        <v>5</v>
      </c>
      <c r="E24" s="27">
        <v>0</v>
      </c>
      <c r="F24" s="26">
        <v>3</v>
      </c>
      <c r="G24" s="27">
        <v>2</v>
      </c>
      <c r="H24" s="29"/>
      <c r="I24" s="28" t="s">
        <v>22</v>
      </c>
      <c r="J24" s="50">
        <v>1</v>
      </c>
      <c r="K24" s="81">
        <f t="shared" si="0"/>
        <v>0.6</v>
      </c>
      <c r="L24" s="51"/>
      <c r="M24" s="51"/>
      <c r="N24" s="51"/>
      <c r="O24" s="51"/>
      <c r="P24" s="51"/>
    </row>
    <row r="25" spans="1:16">
      <c r="A25" s="26" t="s">
        <v>46</v>
      </c>
      <c r="B25" s="26" t="s">
        <v>45</v>
      </c>
      <c r="C25" s="26">
        <v>14</v>
      </c>
      <c r="D25" s="26">
        <v>14</v>
      </c>
      <c r="E25" s="27">
        <v>0</v>
      </c>
      <c r="F25" s="26">
        <v>12</v>
      </c>
      <c r="G25" s="27">
        <v>2</v>
      </c>
      <c r="H25" s="28">
        <v>1</v>
      </c>
      <c r="I25" s="39">
        <v>1</v>
      </c>
      <c r="J25" s="50">
        <v>1</v>
      </c>
      <c r="K25" s="81">
        <f t="shared" si="0"/>
        <v>0.8571428571428571</v>
      </c>
      <c r="L25" s="51"/>
      <c r="M25" s="51"/>
      <c r="N25" s="51"/>
      <c r="O25" s="51"/>
      <c r="P25" s="51"/>
    </row>
    <row r="26" spans="1:16">
      <c r="A26" s="35" t="s">
        <v>47</v>
      </c>
      <c r="B26" s="37" t="s">
        <v>48</v>
      </c>
      <c r="C26" s="37">
        <v>3</v>
      </c>
      <c r="D26" s="37">
        <v>1</v>
      </c>
      <c r="E26" s="36">
        <v>2</v>
      </c>
      <c r="F26" s="37">
        <v>1</v>
      </c>
      <c r="G26" s="36">
        <v>0</v>
      </c>
      <c r="H26" s="34"/>
      <c r="I26" s="34"/>
      <c r="J26" s="47" t="s">
        <v>22</v>
      </c>
      <c r="K26" s="77">
        <f t="shared" si="0"/>
        <v>1</v>
      </c>
      <c r="L26" s="51"/>
      <c r="M26" s="51"/>
      <c r="N26" s="51"/>
      <c r="O26" s="51"/>
      <c r="P26" s="51"/>
    </row>
    <row r="27" spans="1:16">
      <c r="A27" s="4" t="s">
        <v>49</v>
      </c>
      <c r="B27" s="4" t="s">
        <v>50</v>
      </c>
      <c r="C27" s="4">
        <v>10</v>
      </c>
      <c r="D27" s="4">
        <v>8</v>
      </c>
      <c r="E27" s="3">
        <f>C27-D27</f>
        <v>2</v>
      </c>
      <c r="F27" s="4">
        <v>0</v>
      </c>
      <c r="G27" s="3">
        <f>D27-F27</f>
        <v>8</v>
      </c>
      <c r="H27" s="12">
        <v>0</v>
      </c>
      <c r="I27" s="12">
        <v>0</v>
      </c>
      <c r="J27" s="46">
        <v>0</v>
      </c>
      <c r="K27" s="76">
        <f t="shared" si="0"/>
        <v>0</v>
      </c>
      <c r="L27" s="51"/>
      <c r="M27" s="51"/>
      <c r="N27" s="51"/>
      <c r="O27" s="51"/>
      <c r="P27" s="51"/>
    </row>
    <row r="28" spans="1:16">
      <c r="A28" s="4" t="s">
        <v>51</v>
      </c>
      <c r="B28" s="4" t="s">
        <v>50</v>
      </c>
      <c r="C28" s="4">
        <v>2</v>
      </c>
      <c r="D28" s="4">
        <v>0</v>
      </c>
      <c r="E28" s="3">
        <f>C28-D28</f>
        <v>2</v>
      </c>
      <c r="F28" s="4">
        <v>0</v>
      </c>
      <c r="G28" s="3">
        <f>D28-F28</f>
        <v>0</v>
      </c>
      <c r="H28" s="9" t="s">
        <v>22</v>
      </c>
      <c r="I28" s="9" t="s">
        <v>22</v>
      </c>
      <c r="J28" s="47" t="s">
        <v>22</v>
      </c>
      <c r="K28" s="77" t="str">
        <f t="shared" si="0"/>
        <v>待料</v>
      </c>
      <c r="L28" s="51"/>
      <c r="M28" s="51"/>
      <c r="N28" s="51"/>
      <c r="O28" s="51"/>
      <c r="P28" s="51"/>
    </row>
    <row r="29" spans="1:16">
      <c r="A29" s="4" t="s">
        <v>52</v>
      </c>
      <c r="B29" s="4" t="s">
        <v>53</v>
      </c>
      <c r="C29" s="4">
        <v>1</v>
      </c>
      <c r="D29" s="4">
        <v>1</v>
      </c>
      <c r="E29" s="3">
        <f>C29-D29</f>
        <v>0</v>
      </c>
      <c r="F29" s="4">
        <v>1</v>
      </c>
      <c r="G29" s="3">
        <f>D29-F29</f>
        <v>0</v>
      </c>
      <c r="H29" s="21"/>
      <c r="I29" s="9">
        <v>1</v>
      </c>
      <c r="J29" s="48">
        <v>1</v>
      </c>
      <c r="K29" s="78">
        <f t="shared" si="0"/>
        <v>1</v>
      </c>
      <c r="L29" s="51"/>
      <c r="M29" s="51"/>
      <c r="N29" s="51"/>
      <c r="O29" s="51"/>
      <c r="P29" s="51"/>
    </row>
    <row r="30" spans="1:16" ht="46.8" customHeight="1">
      <c r="A30" s="60" t="s">
        <v>52</v>
      </c>
      <c r="B30" s="60" t="s">
        <v>54</v>
      </c>
      <c r="C30" s="60">
        <v>1</v>
      </c>
      <c r="D30" s="60">
        <v>0</v>
      </c>
      <c r="E30" s="61">
        <v>1</v>
      </c>
      <c r="F30" s="60">
        <v>0</v>
      </c>
      <c r="G30" s="61">
        <v>0</v>
      </c>
      <c r="H30" s="62"/>
      <c r="I30" s="63"/>
      <c r="J30" s="68"/>
      <c r="K30" s="82" t="str">
        <f t="shared" si="0"/>
        <v>待料</v>
      </c>
      <c r="L30" s="64"/>
      <c r="M30" s="64"/>
      <c r="N30" s="64"/>
      <c r="O30" s="64"/>
      <c r="P30" s="64"/>
    </row>
    <row r="31" spans="1:16">
      <c r="A31" s="4" t="s">
        <v>55</v>
      </c>
      <c r="B31" s="4" t="s">
        <v>18</v>
      </c>
      <c r="C31" s="4">
        <v>1</v>
      </c>
      <c r="D31" s="4">
        <v>0</v>
      </c>
      <c r="E31" s="3">
        <f>C31-D31</f>
        <v>1</v>
      </c>
      <c r="F31" s="4">
        <v>0</v>
      </c>
      <c r="G31" s="3">
        <f>D31-F31</f>
        <v>0</v>
      </c>
      <c r="H31" s="9" t="s">
        <v>22</v>
      </c>
      <c r="I31" s="9" t="s">
        <v>22</v>
      </c>
      <c r="J31" s="47" t="s">
        <v>22</v>
      </c>
      <c r="K31" s="77" t="str">
        <f t="shared" si="0"/>
        <v>待料</v>
      </c>
      <c r="L31" s="51"/>
      <c r="M31" s="51"/>
      <c r="N31" s="51"/>
      <c r="O31" s="51"/>
      <c r="P31" s="51"/>
    </row>
    <row r="32" spans="1:16">
      <c r="A32" s="4" t="s">
        <v>56</v>
      </c>
      <c r="B32" s="4" t="s">
        <v>38</v>
      </c>
      <c r="C32" s="4">
        <v>3</v>
      </c>
      <c r="D32" s="4">
        <v>3</v>
      </c>
      <c r="E32" s="3">
        <f>C32-D32</f>
        <v>0</v>
      </c>
      <c r="F32" s="4">
        <v>3</v>
      </c>
      <c r="G32" s="3">
        <f>D32-F32</f>
        <v>0</v>
      </c>
      <c r="H32" s="9">
        <v>0.5</v>
      </c>
      <c r="I32" s="9">
        <v>1</v>
      </c>
      <c r="J32" s="48">
        <v>1</v>
      </c>
      <c r="K32" s="78">
        <f t="shared" si="0"/>
        <v>1</v>
      </c>
      <c r="L32" s="51"/>
      <c r="M32" s="51"/>
      <c r="N32" s="51"/>
      <c r="O32" s="51"/>
      <c r="P32" s="51"/>
    </row>
    <row r="33" spans="1:16">
      <c r="A33" s="23"/>
      <c r="B33" s="23"/>
      <c r="C33" s="24">
        <f>SUM(C3:C32)</f>
        <v>214</v>
      </c>
      <c r="D33" s="24">
        <f>SUM(D3:D32)</f>
        <v>168</v>
      </c>
      <c r="E33" s="4">
        <f>SUM(E3:E32)</f>
        <v>46</v>
      </c>
      <c r="F33" s="24">
        <f>SUM(F3:F32)</f>
        <v>121</v>
      </c>
      <c r="G33" s="4">
        <f>SUM(G3:G32)</f>
        <v>47</v>
      </c>
      <c r="K33" s="51"/>
      <c r="L33" s="51"/>
      <c r="M33" s="51"/>
      <c r="N33" s="51"/>
      <c r="O33" s="51"/>
      <c r="P33" s="51"/>
    </row>
    <row r="36" spans="1:16">
      <c r="B36" s="13" t="s">
        <v>57</v>
      </c>
      <c r="C36" s="14">
        <f>C33</f>
        <v>214</v>
      </c>
    </row>
    <row r="37" spans="1:16">
      <c r="B37" s="13" t="s">
        <v>3</v>
      </c>
      <c r="C37" s="14">
        <f>D33</f>
        <v>168</v>
      </c>
    </row>
    <row r="38" spans="1:16" ht="16.8" customHeight="1" thickBot="1">
      <c r="B38" s="13" t="s">
        <v>5</v>
      </c>
      <c r="C38" s="14">
        <f>F33</f>
        <v>121</v>
      </c>
    </row>
    <row r="39" spans="1:16">
      <c r="B39" s="13" t="s">
        <v>58</v>
      </c>
      <c r="C39" s="14">
        <f>G33</f>
        <v>47</v>
      </c>
    </row>
    <row r="40" spans="1:16">
      <c r="B40" s="15" t="s">
        <v>59</v>
      </c>
      <c r="C40" s="16">
        <f>E33</f>
        <v>46</v>
      </c>
    </row>
  </sheetData>
  <mergeCells count="11">
    <mergeCell ref="A1:A2"/>
    <mergeCell ref="M1:M2"/>
    <mergeCell ref="P1:P2"/>
    <mergeCell ref="O1:O2"/>
    <mergeCell ref="B1:B2"/>
    <mergeCell ref="K1:K2"/>
    <mergeCell ref="I1:I2"/>
    <mergeCell ref="L1:L2"/>
    <mergeCell ref="J1:J2"/>
    <mergeCell ref="H1:H2"/>
    <mergeCell ref="N1:N2"/>
  </mergeCells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"/>
  <sheetViews>
    <sheetView topLeftCell="A7" workbookViewId="0">
      <selection activeCell="J18" sqref="J18"/>
    </sheetView>
  </sheetViews>
  <sheetFormatPr defaultRowHeight="16.2"/>
  <cols>
    <col min="2" max="2" width="21.88671875" customWidth="1"/>
  </cols>
  <sheetData>
    <row r="1" spans="1:16" ht="31.2" customHeight="1" thickBot="1">
      <c r="A1" s="88" t="s">
        <v>0</v>
      </c>
      <c r="B1" s="88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9" t="s">
        <v>6</v>
      </c>
      <c r="H1" s="94" t="s">
        <v>7</v>
      </c>
      <c r="I1" s="92" t="s">
        <v>8</v>
      </c>
      <c r="J1" s="92" t="s">
        <v>9</v>
      </c>
      <c r="K1" s="90" t="s">
        <v>10</v>
      </c>
      <c r="L1" s="90" t="s">
        <v>11</v>
      </c>
      <c r="M1" s="90" t="s">
        <v>12</v>
      </c>
      <c r="N1" s="90" t="s">
        <v>13</v>
      </c>
      <c r="O1" s="90" t="s">
        <v>14</v>
      </c>
      <c r="P1" s="90" t="s">
        <v>15</v>
      </c>
    </row>
    <row r="2" spans="1:16" ht="16.8" customHeight="1" thickBot="1">
      <c r="A2" s="89"/>
      <c r="B2" s="89"/>
      <c r="C2" s="2" t="s">
        <v>16</v>
      </c>
      <c r="D2" s="2" t="s">
        <v>16</v>
      </c>
      <c r="E2" s="2" t="s">
        <v>16</v>
      </c>
      <c r="F2" s="8" t="s">
        <v>16</v>
      </c>
      <c r="G2" s="20" t="s">
        <v>16</v>
      </c>
      <c r="H2" s="93"/>
      <c r="I2" s="93"/>
      <c r="J2" s="93"/>
      <c r="K2" s="91"/>
      <c r="L2" s="91"/>
      <c r="M2" s="91"/>
      <c r="N2" s="91"/>
      <c r="O2" s="91"/>
      <c r="P2" s="91"/>
    </row>
    <row r="3" spans="1:16" ht="16.8" customHeight="1" thickTop="1">
      <c r="A3" s="4" t="s">
        <v>60</v>
      </c>
      <c r="B3" s="4" t="s">
        <v>18</v>
      </c>
      <c r="C3" s="4">
        <v>27</v>
      </c>
      <c r="D3" s="4">
        <v>27</v>
      </c>
      <c r="E3" s="3">
        <f>C3-D3</f>
        <v>0</v>
      </c>
      <c r="F3" s="4">
        <v>12</v>
      </c>
      <c r="G3" s="3">
        <f>D3-F3</f>
        <v>15</v>
      </c>
      <c r="H3" s="12">
        <v>0.46</v>
      </c>
      <c r="I3" s="12">
        <v>0.46</v>
      </c>
      <c r="J3" s="12">
        <v>0.44444444444444442</v>
      </c>
      <c r="K3" s="83">
        <f t="shared" ref="K3:K14" si="0">IF(D3=0, "待料", F3/D3)</f>
        <v>0.44444444444444442</v>
      </c>
      <c r="L3" s="55"/>
      <c r="M3" s="55"/>
      <c r="N3" s="55"/>
      <c r="O3" s="55"/>
      <c r="P3" s="55"/>
    </row>
    <row r="4" spans="1:16">
      <c r="A4" s="26" t="s">
        <v>60</v>
      </c>
      <c r="B4" s="26" t="s">
        <v>61</v>
      </c>
      <c r="C4" s="26">
        <v>19</v>
      </c>
      <c r="D4" s="26">
        <v>19</v>
      </c>
      <c r="E4" s="32">
        <v>0</v>
      </c>
      <c r="F4" s="26">
        <v>1</v>
      </c>
      <c r="G4" s="32">
        <v>18</v>
      </c>
      <c r="H4" s="45">
        <v>1</v>
      </c>
      <c r="I4" s="45">
        <v>0.14000000000000001</v>
      </c>
      <c r="J4" s="45">
        <v>9.0909090909090912E-2</v>
      </c>
      <c r="K4" s="84">
        <f t="shared" si="0"/>
        <v>5.2631578947368418E-2</v>
      </c>
      <c r="L4" s="55"/>
      <c r="M4" s="55"/>
      <c r="N4" s="55"/>
      <c r="O4" s="55"/>
      <c r="P4" s="55"/>
    </row>
    <row r="5" spans="1:16">
      <c r="A5" s="5" t="s">
        <v>62</v>
      </c>
      <c r="B5" s="5" t="s">
        <v>63</v>
      </c>
      <c r="C5" s="5">
        <v>24</v>
      </c>
      <c r="D5" s="5">
        <v>24</v>
      </c>
      <c r="E5" s="3">
        <f>C5-D5</f>
        <v>0</v>
      </c>
      <c r="F5" s="5">
        <v>20</v>
      </c>
      <c r="G5" s="3">
        <f>D5-F5</f>
        <v>4</v>
      </c>
      <c r="H5" s="9">
        <v>0.83</v>
      </c>
      <c r="I5" s="9">
        <v>0.83</v>
      </c>
      <c r="J5" s="22">
        <v>0.83333333333333337</v>
      </c>
      <c r="K5" s="85">
        <f t="shared" si="0"/>
        <v>0.83333333333333337</v>
      </c>
      <c r="L5" s="55"/>
      <c r="M5" s="55"/>
      <c r="N5" s="55"/>
      <c r="O5" s="55"/>
      <c r="P5" s="55"/>
    </row>
    <row r="6" spans="1:16">
      <c r="A6" s="4" t="s">
        <v>62</v>
      </c>
      <c r="B6" s="4" t="s">
        <v>64</v>
      </c>
      <c r="C6" s="4">
        <v>6</v>
      </c>
      <c r="D6" s="4">
        <v>6</v>
      </c>
      <c r="E6" s="3">
        <f>C6-D6</f>
        <v>0</v>
      </c>
      <c r="F6" s="4">
        <v>6</v>
      </c>
      <c r="G6" s="3">
        <f>D6-F6</f>
        <v>0</v>
      </c>
      <c r="H6" s="9">
        <v>1</v>
      </c>
      <c r="I6" s="9">
        <v>1</v>
      </c>
      <c r="J6" s="22">
        <v>1</v>
      </c>
      <c r="K6" s="85">
        <f t="shared" si="0"/>
        <v>1</v>
      </c>
      <c r="L6" s="55"/>
      <c r="M6" s="55"/>
      <c r="N6" s="55"/>
      <c r="O6" s="55"/>
      <c r="P6" s="55"/>
    </row>
    <row r="7" spans="1:16" ht="31.2" customHeight="1">
      <c r="A7" s="25" t="s">
        <v>62</v>
      </c>
      <c r="B7" s="25" t="s">
        <v>65</v>
      </c>
      <c r="C7" s="25">
        <v>21</v>
      </c>
      <c r="D7" s="25">
        <v>21</v>
      </c>
      <c r="E7" s="32">
        <v>0</v>
      </c>
      <c r="F7" s="25">
        <v>11</v>
      </c>
      <c r="G7" s="32">
        <v>10</v>
      </c>
      <c r="H7" s="12">
        <v>0.33</v>
      </c>
      <c r="I7" s="22">
        <v>0.56000000000000005</v>
      </c>
      <c r="J7" s="22">
        <v>0.58823529411764708</v>
      </c>
      <c r="K7" s="85">
        <f t="shared" si="0"/>
        <v>0.52380952380952384</v>
      </c>
      <c r="L7" s="55"/>
      <c r="M7" s="55"/>
      <c r="N7" s="55"/>
      <c r="O7" s="55"/>
      <c r="P7" s="55"/>
    </row>
    <row r="8" spans="1:16" ht="31.2" customHeight="1">
      <c r="A8" s="26" t="s">
        <v>62</v>
      </c>
      <c r="B8" s="26" t="s">
        <v>66</v>
      </c>
      <c r="C8" s="26">
        <v>21</v>
      </c>
      <c r="D8" s="26">
        <v>20</v>
      </c>
      <c r="E8" s="32">
        <v>1</v>
      </c>
      <c r="F8" s="33">
        <v>3</v>
      </c>
      <c r="G8" s="32">
        <v>17</v>
      </c>
      <c r="H8" s="12">
        <v>0</v>
      </c>
      <c r="I8" s="12">
        <v>0</v>
      </c>
      <c r="J8" s="12">
        <v>0.15</v>
      </c>
      <c r="K8" s="83">
        <f t="shared" si="0"/>
        <v>0.15</v>
      </c>
      <c r="L8" s="55"/>
      <c r="M8" s="55"/>
      <c r="N8" s="55"/>
      <c r="O8" s="55"/>
      <c r="P8" s="55"/>
    </row>
    <row r="9" spans="1:16">
      <c r="A9" s="26" t="s">
        <v>62</v>
      </c>
      <c r="B9" s="40" t="s">
        <v>67</v>
      </c>
      <c r="C9" s="41">
        <v>1</v>
      </c>
      <c r="D9" s="41">
        <v>0</v>
      </c>
      <c r="E9" s="41">
        <f>C9-D9</f>
        <v>1</v>
      </c>
      <c r="F9" s="42">
        <v>0</v>
      </c>
      <c r="G9" s="41">
        <f>D9-F9</f>
        <v>0</v>
      </c>
      <c r="H9" s="43"/>
      <c r="I9" s="43"/>
      <c r="J9" s="39" t="s">
        <v>22</v>
      </c>
      <c r="K9" s="86" t="str">
        <f t="shared" si="0"/>
        <v>待料</v>
      </c>
      <c r="L9" s="55"/>
      <c r="M9" s="55"/>
      <c r="N9" s="55"/>
      <c r="O9" s="55"/>
      <c r="P9" s="55"/>
    </row>
    <row r="10" spans="1:16">
      <c r="A10" s="26" t="s">
        <v>62</v>
      </c>
      <c r="B10" s="41" t="s">
        <v>68</v>
      </c>
      <c r="C10" s="41">
        <v>7</v>
      </c>
      <c r="D10" s="41">
        <v>2</v>
      </c>
      <c r="E10" s="41">
        <v>5</v>
      </c>
      <c r="F10" s="42">
        <v>2</v>
      </c>
      <c r="G10" s="41">
        <v>0</v>
      </c>
      <c r="H10" s="43"/>
      <c r="I10" s="43"/>
      <c r="J10" s="39" t="s">
        <v>22</v>
      </c>
      <c r="K10" s="86">
        <f t="shared" si="0"/>
        <v>1</v>
      </c>
      <c r="L10" s="55"/>
      <c r="M10" s="55"/>
      <c r="N10" s="55"/>
      <c r="O10" s="55"/>
      <c r="P10" s="55"/>
    </row>
    <row r="11" spans="1:16">
      <c r="A11" s="3" t="s">
        <v>62</v>
      </c>
      <c r="B11" s="3" t="s">
        <v>69</v>
      </c>
      <c r="C11" s="3">
        <v>7</v>
      </c>
      <c r="D11" s="3">
        <v>2</v>
      </c>
      <c r="E11" s="3">
        <v>5</v>
      </c>
      <c r="F11" s="3">
        <v>2</v>
      </c>
      <c r="G11" s="3">
        <v>0</v>
      </c>
      <c r="H11" s="9">
        <v>1</v>
      </c>
      <c r="I11" s="22">
        <v>1</v>
      </c>
      <c r="J11" s="22">
        <v>1</v>
      </c>
      <c r="K11" s="85">
        <f t="shared" si="0"/>
        <v>1</v>
      </c>
      <c r="L11" s="55"/>
      <c r="M11" s="55"/>
      <c r="N11" s="55"/>
      <c r="O11" s="55"/>
      <c r="P11" s="55"/>
    </row>
    <row r="12" spans="1:16">
      <c r="A12" s="4" t="s">
        <v>62</v>
      </c>
      <c r="B12" s="4" t="s">
        <v>70</v>
      </c>
      <c r="C12" s="4">
        <v>2</v>
      </c>
      <c r="D12" s="4">
        <v>2</v>
      </c>
      <c r="E12" s="3">
        <f>C12-D12</f>
        <v>0</v>
      </c>
      <c r="F12" s="4">
        <v>2</v>
      </c>
      <c r="G12" s="3">
        <f>D12-F12</f>
        <v>0</v>
      </c>
      <c r="H12" s="9">
        <v>1</v>
      </c>
      <c r="I12" s="22">
        <v>1</v>
      </c>
      <c r="J12" s="22">
        <v>1</v>
      </c>
      <c r="K12" s="85">
        <f t="shared" si="0"/>
        <v>1</v>
      </c>
      <c r="L12" s="55"/>
      <c r="M12" s="55"/>
      <c r="N12" s="55"/>
      <c r="O12" s="55"/>
      <c r="P12" s="55"/>
    </row>
    <row r="13" spans="1:16" ht="31.2" customHeight="1">
      <c r="A13" s="56" t="s">
        <v>62</v>
      </c>
      <c r="B13" s="56" t="s">
        <v>71</v>
      </c>
      <c r="C13" s="56">
        <v>6</v>
      </c>
      <c r="D13" s="56">
        <v>1</v>
      </c>
      <c r="E13" s="57">
        <v>5</v>
      </c>
      <c r="F13" s="56">
        <v>0</v>
      </c>
      <c r="G13" s="57">
        <v>1</v>
      </c>
      <c r="H13" s="58"/>
      <c r="I13" s="58"/>
      <c r="J13" s="58"/>
      <c r="K13" s="80">
        <f t="shared" si="0"/>
        <v>0</v>
      </c>
      <c r="L13" s="59"/>
      <c r="M13" s="59"/>
      <c r="N13" s="59"/>
      <c r="O13" s="59"/>
      <c r="P13" s="59"/>
    </row>
    <row r="14" spans="1:16">
      <c r="A14" s="56" t="s">
        <v>62</v>
      </c>
      <c r="B14" s="56" t="s">
        <v>72</v>
      </c>
      <c r="C14" s="56">
        <v>1</v>
      </c>
      <c r="D14" s="56">
        <v>0</v>
      </c>
      <c r="E14" s="57">
        <v>1</v>
      </c>
      <c r="F14" s="56">
        <v>0</v>
      </c>
      <c r="G14" s="57">
        <v>0</v>
      </c>
      <c r="H14" s="58"/>
      <c r="I14" s="58"/>
      <c r="J14" s="58"/>
      <c r="K14" s="80" t="str">
        <f t="shared" si="0"/>
        <v>待料</v>
      </c>
      <c r="L14" s="59"/>
      <c r="M14" s="59"/>
      <c r="N14" s="59"/>
      <c r="O14" s="59"/>
      <c r="P14" s="59"/>
    </row>
    <row r="15" spans="1:16">
      <c r="C15" s="24">
        <f>SUM(C3:C14)</f>
        <v>142</v>
      </c>
      <c r="D15" s="24">
        <f>SUM(D3:D14)</f>
        <v>124</v>
      </c>
      <c r="E15" s="4">
        <f>SUM(E3:E14)</f>
        <v>18</v>
      </c>
      <c r="F15" s="24">
        <f>SUM(F3:F14)</f>
        <v>59</v>
      </c>
      <c r="G15" s="4">
        <f>SUM(G3:G14)</f>
        <v>65</v>
      </c>
    </row>
    <row r="18" spans="2:3">
      <c r="B18" s="13" t="s">
        <v>57</v>
      </c>
      <c r="C18" s="14">
        <f>C15</f>
        <v>142</v>
      </c>
    </row>
    <row r="19" spans="2:3">
      <c r="B19" s="13" t="s">
        <v>3</v>
      </c>
      <c r="C19" s="14">
        <f>D15</f>
        <v>124</v>
      </c>
    </row>
    <row r="20" spans="2:3" ht="16.8" customHeight="1" thickBot="1">
      <c r="B20" s="13" t="s">
        <v>5</v>
      </c>
      <c r="C20" s="14">
        <f>F15</f>
        <v>59</v>
      </c>
    </row>
    <row r="21" spans="2:3">
      <c r="B21" s="13" t="s">
        <v>58</v>
      </c>
      <c r="C21" s="14">
        <f>G15</f>
        <v>65</v>
      </c>
    </row>
    <row r="22" spans="2:3">
      <c r="B22" s="15" t="s">
        <v>59</v>
      </c>
      <c r="C22" s="16">
        <f>E15</f>
        <v>18</v>
      </c>
    </row>
  </sheetData>
  <mergeCells count="11">
    <mergeCell ref="A1:A2"/>
    <mergeCell ref="M1:M2"/>
    <mergeCell ref="P1:P2"/>
    <mergeCell ref="O1:O2"/>
    <mergeCell ref="B1:B2"/>
    <mergeCell ref="K1:K2"/>
    <mergeCell ref="I1:I2"/>
    <mergeCell ref="L1:L2"/>
    <mergeCell ref="J1:J2"/>
    <mergeCell ref="H1:H2"/>
    <mergeCell ref="N1:N2"/>
  </mergeCells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2"/>
  <sheetViews>
    <sheetView topLeftCell="A19" workbookViewId="0">
      <selection activeCell="L33" sqref="L33"/>
    </sheetView>
  </sheetViews>
  <sheetFormatPr defaultRowHeight="16.2"/>
  <cols>
    <col min="2" max="2" width="17.77734375" customWidth="1"/>
    <col min="8" max="8" width="7.21875" customWidth="1"/>
  </cols>
  <sheetData>
    <row r="1" spans="1:16" ht="31.2" customHeight="1" thickBot="1">
      <c r="A1" s="88" t="s">
        <v>0</v>
      </c>
      <c r="B1" s="88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9" t="s">
        <v>6</v>
      </c>
      <c r="H1" s="94" t="s">
        <v>7</v>
      </c>
      <c r="I1" s="92" t="s">
        <v>8</v>
      </c>
      <c r="J1" s="92" t="s">
        <v>9</v>
      </c>
      <c r="K1" s="90" t="s">
        <v>10</v>
      </c>
      <c r="L1" s="90" t="s">
        <v>11</v>
      </c>
      <c r="M1" s="90" t="s">
        <v>12</v>
      </c>
      <c r="N1" s="90" t="s">
        <v>13</v>
      </c>
      <c r="O1" s="90" t="s">
        <v>14</v>
      </c>
      <c r="P1" s="90" t="s">
        <v>15</v>
      </c>
    </row>
    <row r="2" spans="1:16" ht="16.8" customHeight="1" thickBot="1">
      <c r="A2" s="89"/>
      <c r="B2" s="89"/>
      <c r="C2" s="2" t="s">
        <v>16</v>
      </c>
      <c r="D2" s="2" t="s">
        <v>16</v>
      </c>
      <c r="E2" s="2" t="s">
        <v>16</v>
      </c>
      <c r="F2" s="8" t="s">
        <v>16</v>
      </c>
      <c r="G2" s="20" t="s">
        <v>16</v>
      </c>
      <c r="H2" s="93"/>
      <c r="I2" s="93"/>
      <c r="J2" s="93"/>
      <c r="K2" s="91"/>
      <c r="L2" s="91"/>
      <c r="M2" s="91"/>
      <c r="N2" s="91"/>
      <c r="O2" s="91"/>
      <c r="P2" s="91"/>
    </row>
    <row r="3" spans="1:16" ht="16.8" customHeight="1" thickTop="1">
      <c r="A3" s="4" t="s">
        <v>73</v>
      </c>
      <c r="B3" s="4" t="s">
        <v>18</v>
      </c>
      <c r="C3" s="4">
        <v>3</v>
      </c>
      <c r="D3" s="4">
        <v>3</v>
      </c>
      <c r="E3" s="3">
        <v>0</v>
      </c>
      <c r="F3" s="4">
        <v>1</v>
      </c>
      <c r="G3" s="3">
        <v>2</v>
      </c>
      <c r="H3" s="9">
        <v>0.5</v>
      </c>
      <c r="I3" s="9">
        <v>0.5</v>
      </c>
      <c r="J3" s="9">
        <v>0.5</v>
      </c>
      <c r="K3" s="80">
        <f t="shared" ref="K3:K24" si="0">IF(D3=0, "待料", F3/D3)</f>
        <v>0.33333333333333331</v>
      </c>
      <c r="L3" s="55"/>
      <c r="M3" s="55"/>
      <c r="N3" s="55"/>
      <c r="O3" s="55"/>
      <c r="P3" s="55"/>
    </row>
    <row r="4" spans="1:16">
      <c r="A4" s="4" t="s">
        <v>73</v>
      </c>
      <c r="B4" s="4" t="s">
        <v>74</v>
      </c>
      <c r="C4" s="4">
        <v>1</v>
      </c>
      <c r="D4" s="4">
        <v>0</v>
      </c>
      <c r="E4" s="3">
        <f>C4-D4</f>
        <v>1</v>
      </c>
      <c r="F4" s="4">
        <v>0</v>
      </c>
      <c r="G4" s="3">
        <f>D4-F4</f>
        <v>0</v>
      </c>
      <c r="H4" s="44"/>
      <c r="I4" s="44"/>
      <c r="J4" s="9" t="s">
        <v>22</v>
      </c>
      <c r="K4" s="80" t="str">
        <f t="shared" si="0"/>
        <v>待料</v>
      </c>
      <c r="L4" s="55"/>
      <c r="M4" s="55"/>
      <c r="N4" s="55"/>
      <c r="O4" s="55"/>
      <c r="P4" s="55"/>
    </row>
    <row r="5" spans="1:16" ht="31.2" customHeight="1">
      <c r="A5" s="69" t="s">
        <v>73</v>
      </c>
      <c r="B5" s="69" t="s">
        <v>75</v>
      </c>
      <c r="C5" s="69">
        <v>11</v>
      </c>
      <c r="D5" s="69">
        <v>11</v>
      </c>
      <c r="E5" s="70">
        <v>0</v>
      </c>
      <c r="F5" s="69">
        <v>7</v>
      </c>
      <c r="G5" s="70">
        <v>4</v>
      </c>
      <c r="H5" s="71"/>
      <c r="I5" s="71"/>
      <c r="J5" s="71"/>
      <c r="K5" s="80">
        <f t="shared" si="0"/>
        <v>0.63636363636363635</v>
      </c>
      <c r="L5" s="72"/>
      <c r="M5" s="72"/>
      <c r="N5" s="72"/>
      <c r="O5" s="72"/>
      <c r="P5" s="72"/>
    </row>
    <row r="6" spans="1:16">
      <c r="A6" s="4" t="s">
        <v>76</v>
      </c>
      <c r="B6" s="4" t="s">
        <v>61</v>
      </c>
      <c r="C6" s="4">
        <v>7</v>
      </c>
      <c r="D6" s="4">
        <v>5</v>
      </c>
      <c r="E6" s="3">
        <v>2</v>
      </c>
      <c r="F6" s="4">
        <v>2</v>
      </c>
      <c r="G6" s="3">
        <v>3</v>
      </c>
      <c r="H6" s="12">
        <v>0</v>
      </c>
      <c r="I6" s="12">
        <v>0</v>
      </c>
      <c r="J6" s="12">
        <v>0</v>
      </c>
      <c r="K6" s="83">
        <f t="shared" si="0"/>
        <v>0.4</v>
      </c>
      <c r="L6" s="55"/>
      <c r="M6" s="55"/>
      <c r="N6" s="55"/>
      <c r="O6" s="55"/>
      <c r="P6" s="55"/>
    </row>
    <row r="7" spans="1:16">
      <c r="A7" s="4" t="s">
        <v>76</v>
      </c>
      <c r="B7" s="4" t="s">
        <v>77</v>
      </c>
      <c r="C7" s="4">
        <v>1</v>
      </c>
      <c r="D7" s="4">
        <v>1</v>
      </c>
      <c r="E7" s="3">
        <f>C7-D7</f>
        <v>0</v>
      </c>
      <c r="F7" s="4">
        <v>0</v>
      </c>
      <c r="G7" s="3">
        <f>D7-F7</f>
        <v>1</v>
      </c>
      <c r="H7" s="12">
        <v>0</v>
      </c>
      <c r="I7" s="12">
        <v>0</v>
      </c>
      <c r="J7" s="12">
        <v>0</v>
      </c>
      <c r="K7" s="83">
        <f t="shared" si="0"/>
        <v>0</v>
      </c>
      <c r="L7" s="55"/>
      <c r="M7" s="55"/>
      <c r="N7" s="55"/>
      <c r="O7" s="55"/>
      <c r="P7" s="55"/>
    </row>
    <row r="8" spans="1:16">
      <c r="A8" s="4" t="s">
        <v>76</v>
      </c>
      <c r="B8" s="4" t="s">
        <v>18</v>
      </c>
      <c r="C8" s="4">
        <v>1</v>
      </c>
      <c r="D8" s="4">
        <v>1</v>
      </c>
      <c r="E8" s="3">
        <f>C8-D8</f>
        <v>0</v>
      </c>
      <c r="F8" s="4">
        <v>1</v>
      </c>
      <c r="G8" s="3">
        <f>D8-F8</f>
        <v>0</v>
      </c>
      <c r="H8" s="9">
        <v>1</v>
      </c>
      <c r="I8" s="9">
        <v>1</v>
      </c>
      <c r="J8" s="9">
        <v>1</v>
      </c>
      <c r="K8" s="80">
        <f t="shared" si="0"/>
        <v>1</v>
      </c>
      <c r="L8" s="55"/>
      <c r="M8" s="55"/>
      <c r="N8" s="55"/>
      <c r="O8" s="55"/>
      <c r="P8" s="55"/>
    </row>
    <row r="9" spans="1:16">
      <c r="A9" s="26" t="s">
        <v>78</v>
      </c>
      <c r="B9" s="26" t="s">
        <v>61</v>
      </c>
      <c r="C9" s="26">
        <v>58</v>
      </c>
      <c r="D9" s="26">
        <v>58</v>
      </c>
      <c r="E9" s="31">
        <v>0</v>
      </c>
      <c r="F9" s="26">
        <v>9</v>
      </c>
      <c r="G9" s="31">
        <v>49</v>
      </c>
      <c r="H9" s="12">
        <v>0.17</v>
      </c>
      <c r="I9" s="12">
        <v>0.17</v>
      </c>
      <c r="J9" s="12">
        <v>0.16666666666666671</v>
      </c>
      <c r="K9" s="83">
        <f t="shared" si="0"/>
        <v>0.15517241379310345</v>
      </c>
      <c r="L9" s="55"/>
      <c r="M9" s="55"/>
      <c r="N9" s="55"/>
      <c r="O9" s="55"/>
      <c r="P9" s="55"/>
    </row>
    <row r="10" spans="1:16">
      <c r="A10" s="4" t="s">
        <v>79</v>
      </c>
      <c r="B10" s="4" t="s">
        <v>61</v>
      </c>
      <c r="C10" s="4">
        <v>10</v>
      </c>
      <c r="D10" s="4">
        <v>10</v>
      </c>
      <c r="E10" s="17">
        <f>C10-D10</f>
        <v>0</v>
      </c>
      <c r="F10" s="4">
        <v>10</v>
      </c>
      <c r="G10" s="17">
        <f>D10-F10</f>
        <v>0</v>
      </c>
      <c r="H10" s="9">
        <v>1</v>
      </c>
      <c r="I10" s="9">
        <v>1</v>
      </c>
      <c r="J10" s="9">
        <v>1</v>
      </c>
      <c r="K10" s="80">
        <f t="shared" si="0"/>
        <v>1</v>
      </c>
      <c r="L10" s="55"/>
      <c r="M10" s="55"/>
      <c r="N10" s="55"/>
      <c r="O10" s="55"/>
      <c r="P10" s="55"/>
    </row>
    <row r="11" spans="1:16">
      <c r="A11" s="4" t="s">
        <v>79</v>
      </c>
      <c r="B11" s="4" t="s">
        <v>80</v>
      </c>
      <c r="C11" s="4">
        <v>41</v>
      </c>
      <c r="D11" s="4">
        <v>32</v>
      </c>
      <c r="E11" s="17">
        <v>9</v>
      </c>
      <c r="F11" s="4">
        <v>29</v>
      </c>
      <c r="G11" s="17">
        <v>3</v>
      </c>
      <c r="H11" s="9">
        <v>1</v>
      </c>
      <c r="I11" s="9">
        <v>1</v>
      </c>
      <c r="J11" s="9">
        <v>0.59259259259259256</v>
      </c>
      <c r="K11" s="80">
        <f t="shared" si="0"/>
        <v>0.90625</v>
      </c>
      <c r="L11" s="55"/>
      <c r="M11" s="55"/>
      <c r="N11" s="55"/>
      <c r="O11" s="55"/>
      <c r="P11" s="55"/>
    </row>
    <row r="12" spans="1:16">
      <c r="A12" s="4" t="s">
        <v>79</v>
      </c>
      <c r="B12" s="4" t="s">
        <v>18</v>
      </c>
      <c r="C12" s="4">
        <v>17</v>
      </c>
      <c r="D12" s="4">
        <v>17</v>
      </c>
      <c r="E12" s="17">
        <v>0</v>
      </c>
      <c r="F12" s="4">
        <v>7</v>
      </c>
      <c r="G12" s="17">
        <v>10</v>
      </c>
      <c r="H12" s="21"/>
      <c r="I12" s="9">
        <v>1</v>
      </c>
      <c r="J12" s="12">
        <v>0.26666666666666672</v>
      </c>
      <c r="K12" s="83">
        <f t="shared" si="0"/>
        <v>0.41176470588235292</v>
      </c>
      <c r="L12" s="55"/>
      <c r="M12" s="55"/>
      <c r="N12" s="55"/>
      <c r="O12" s="55"/>
      <c r="P12" s="55"/>
    </row>
    <row r="13" spans="1:16" ht="31.2" customHeight="1">
      <c r="A13" s="60" t="s">
        <v>79</v>
      </c>
      <c r="B13" s="60" t="s">
        <v>81</v>
      </c>
      <c r="C13" s="60">
        <v>12</v>
      </c>
      <c r="D13" s="60">
        <v>5</v>
      </c>
      <c r="E13" s="61">
        <v>7</v>
      </c>
      <c r="F13" s="60">
        <v>4</v>
      </c>
      <c r="G13" s="61">
        <v>1</v>
      </c>
      <c r="H13" s="62"/>
      <c r="I13" s="63"/>
      <c r="J13" s="63"/>
      <c r="K13" s="80">
        <f t="shared" si="0"/>
        <v>0.8</v>
      </c>
      <c r="L13" s="64"/>
      <c r="M13" s="64"/>
      <c r="N13" s="64"/>
      <c r="O13" s="64"/>
      <c r="P13" s="64"/>
    </row>
    <row r="14" spans="1:16" ht="31.2" customHeight="1">
      <c r="A14" s="60" t="s">
        <v>79</v>
      </c>
      <c r="B14" s="60" t="s">
        <v>82</v>
      </c>
      <c r="C14" s="60">
        <v>1</v>
      </c>
      <c r="D14" s="60">
        <v>0</v>
      </c>
      <c r="E14" s="61">
        <v>1</v>
      </c>
      <c r="F14" s="60">
        <v>0</v>
      </c>
      <c r="G14" s="61">
        <v>0</v>
      </c>
      <c r="H14" s="62"/>
      <c r="I14" s="63"/>
      <c r="J14" s="63"/>
      <c r="K14" s="80" t="str">
        <f t="shared" si="0"/>
        <v>待料</v>
      </c>
      <c r="L14" s="64"/>
      <c r="M14" s="64"/>
      <c r="N14" s="64"/>
      <c r="O14" s="64"/>
      <c r="P14" s="64"/>
    </row>
    <row r="15" spans="1:16">
      <c r="A15" s="5" t="s">
        <v>83</v>
      </c>
      <c r="B15" s="5" t="s">
        <v>21</v>
      </c>
      <c r="C15" s="5">
        <v>2</v>
      </c>
      <c r="D15" s="5">
        <v>2</v>
      </c>
      <c r="E15" s="17">
        <f>C15-D15</f>
        <v>0</v>
      </c>
      <c r="F15" s="5">
        <v>0</v>
      </c>
      <c r="G15" s="17">
        <f>D15-F15</f>
        <v>2</v>
      </c>
      <c r="H15" s="12">
        <v>0</v>
      </c>
      <c r="I15" s="12">
        <v>0</v>
      </c>
      <c r="J15" s="12">
        <v>0</v>
      </c>
      <c r="K15" s="83">
        <f t="shared" si="0"/>
        <v>0</v>
      </c>
      <c r="L15" s="55"/>
      <c r="M15" s="55"/>
      <c r="N15" s="55"/>
      <c r="O15" s="55"/>
      <c r="P15" s="55"/>
    </row>
    <row r="16" spans="1:16">
      <c r="A16" s="4" t="s">
        <v>83</v>
      </c>
      <c r="B16" s="4" t="s">
        <v>18</v>
      </c>
      <c r="C16" s="4">
        <v>85</v>
      </c>
      <c r="D16" s="4">
        <v>78</v>
      </c>
      <c r="E16" s="17">
        <v>7</v>
      </c>
      <c r="F16" s="4">
        <v>72</v>
      </c>
      <c r="G16" s="17">
        <v>6</v>
      </c>
      <c r="H16" s="9">
        <v>0.87</v>
      </c>
      <c r="I16" s="9">
        <v>0.89</v>
      </c>
      <c r="J16" s="9">
        <v>0.92307692307692313</v>
      </c>
      <c r="K16" s="80">
        <f t="shared" si="0"/>
        <v>0.92307692307692313</v>
      </c>
      <c r="L16" s="55"/>
      <c r="M16" s="55"/>
      <c r="N16" s="55"/>
      <c r="O16" s="55"/>
      <c r="P16" s="55"/>
    </row>
    <row r="17" spans="1:16" ht="31.2" customHeight="1">
      <c r="A17" s="73" t="s">
        <v>83</v>
      </c>
      <c r="B17" s="73" t="s">
        <v>64</v>
      </c>
      <c r="C17" s="73">
        <v>9</v>
      </c>
      <c r="D17" s="73">
        <v>9</v>
      </c>
      <c r="E17" s="74">
        <f>C17-D17</f>
        <v>0</v>
      </c>
      <c r="F17" s="73">
        <v>1</v>
      </c>
      <c r="G17" s="74">
        <f>D17-F17</f>
        <v>8</v>
      </c>
      <c r="H17" s="75">
        <v>0.13</v>
      </c>
      <c r="I17" s="75">
        <v>0.11</v>
      </c>
      <c r="J17" s="75">
        <v>0.1111111111111111</v>
      </c>
      <c r="K17" s="83">
        <f t="shared" si="0"/>
        <v>0.1111111111111111</v>
      </c>
      <c r="L17" s="55"/>
      <c r="M17" s="55"/>
      <c r="N17" s="55"/>
      <c r="O17" s="55"/>
      <c r="P17" s="55"/>
    </row>
    <row r="18" spans="1:16" ht="31.2" customHeight="1">
      <c r="A18" s="65" t="s">
        <v>83</v>
      </c>
      <c r="B18" s="65" t="s">
        <v>84</v>
      </c>
      <c r="C18" s="61">
        <v>1</v>
      </c>
      <c r="D18" s="61">
        <v>0</v>
      </c>
      <c r="E18" s="61">
        <v>1</v>
      </c>
      <c r="F18" s="61">
        <v>0</v>
      </c>
      <c r="G18" s="61">
        <v>0</v>
      </c>
      <c r="H18" s="66"/>
      <c r="I18" s="66"/>
      <c r="J18" s="66"/>
      <c r="K18" s="87" t="str">
        <f t="shared" si="0"/>
        <v>待料</v>
      </c>
      <c r="L18" s="64"/>
      <c r="M18" s="64"/>
      <c r="N18" s="64"/>
      <c r="O18" s="64"/>
      <c r="P18" s="64"/>
    </row>
    <row r="19" spans="1:16">
      <c r="A19" s="4" t="s">
        <v>85</v>
      </c>
      <c r="B19" s="4" t="s">
        <v>18</v>
      </c>
      <c r="C19" s="4">
        <v>3</v>
      </c>
      <c r="D19" s="4">
        <v>0</v>
      </c>
      <c r="E19" s="18">
        <f t="shared" ref="E19:E24" si="1">C19-D19</f>
        <v>3</v>
      </c>
      <c r="F19" s="4">
        <v>0</v>
      </c>
      <c r="G19" s="18">
        <f t="shared" ref="G19:G24" si="2">D19-F19</f>
        <v>0</v>
      </c>
      <c r="H19" s="9" t="s">
        <v>22</v>
      </c>
      <c r="I19" s="9" t="s">
        <v>22</v>
      </c>
      <c r="J19" s="9" t="s">
        <v>22</v>
      </c>
      <c r="K19" s="80" t="str">
        <f t="shared" si="0"/>
        <v>待料</v>
      </c>
      <c r="L19" s="55"/>
      <c r="M19" s="55"/>
      <c r="N19" s="55"/>
      <c r="O19" s="55"/>
      <c r="P19" s="55"/>
    </row>
    <row r="20" spans="1:16">
      <c r="A20" s="4" t="s">
        <v>85</v>
      </c>
      <c r="B20" s="4" t="s">
        <v>31</v>
      </c>
      <c r="C20" s="4">
        <v>76</v>
      </c>
      <c r="D20" s="4">
        <v>76</v>
      </c>
      <c r="E20" s="17">
        <f t="shared" si="1"/>
        <v>0</v>
      </c>
      <c r="F20" s="4">
        <v>76</v>
      </c>
      <c r="G20" s="17">
        <f t="shared" si="2"/>
        <v>0</v>
      </c>
      <c r="H20" s="9">
        <v>1</v>
      </c>
      <c r="I20" s="9">
        <v>1</v>
      </c>
      <c r="J20" s="9">
        <v>1</v>
      </c>
      <c r="K20" s="80">
        <f t="shared" si="0"/>
        <v>1</v>
      </c>
      <c r="L20" s="55"/>
      <c r="M20" s="55"/>
      <c r="N20" s="55"/>
      <c r="O20" s="55"/>
      <c r="P20" s="55"/>
    </row>
    <row r="21" spans="1:16" ht="31.2" customHeight="1">
      <c r="A21" s="4" t="s">
        <v>85</v>
      </c>
      <c r="B21" s="6" t="s">
        <v>86</v>
      </c>
      <c r="C21" s="6">
        <v>42</v>
      </c>
      <c r="D21" s="6">
        <v>42</v>
      </c>
      <c r="E21" s="17">
        <f t="shared" si="1"/>
        <v>0</v>
      </c>
      <c r="F21" s="6">
        <v>42</v>
      </c>
      <c r="G21" s="17">
        <f t="shared" si="2"/>
        <v>0</v>
      </c>
      <c r="H21" s="9">
        <v>0.83</v>
      </c>
      <c r="I21" s="9">
        <v>1</v>
      </c>
      <c r="J21" s="9">
        <v>1</v>
      </c>
      <c r="K21" s="80">
        <f t="shared" si="0"/>
        <v>1</v>
      </c>
      <c r="L21" s="55"/>
      <c r="M21" s="55"/>
      <c r="N21" s="55"/>
      <c r="O21" s="55"/>
      <c r="P21" s="55"/>
    </row>
    <row r="22" spans="1:16" ht="31.2" customHeight="1">
      <c r="A22" s="4" t="s">
        <v>87</v>
      </c>
      <c r="B22" s="4" t="s">
        <v>88</v>
      </c>
      <c r="C22" s="4">
        <v>1</v>
      </c>
      <c r="D22" s="4">
        <v>1</v>
      </c>
      <c r="E22" s="3">
        <f t="shared" si="1"/>
        <v>0</v>
      </c>
      <c r="F22" s="4">
        <v>1</v>
      </c>
      <c r="G22" s="3">
        <f t="shared" si="2"/>
        <v>0</v>
      </c>
      <c r="H22" s="12">
        <v>0</v>
      </c>
      <c r="I22" s="22">
        <v>1</v>
      </c>
      <c r="J22" s="9">
        <v>1</v>
      </c>
      <c r="K22" s="80">
        <f t="shared" si="0"/>
        <v>1</v>
      </c>
      <c r="L22" s="55"/>
      <c r="M22" s="55"/>
      <c r="N22" s="55"/>
      <c r="O22" s="55"/>
      <c r="P22" s="55"/>
    </row>
    <row r="23" spans="1:16">
      <c r="A23" s="4" t="s">
        <v>89</v>
      </c>
      <c r="B23" s="4" t="s">
        <v>90</v>
      </c>
      <c r="C23" s="4">
        <v>1</v>
      </c>
      <c r="D23" s="4">
        <v>1</v>
      </c>
      <c r="E23" s="3">
        <f t="shared" si="1"/>
        <v>0</v>
      </c>
      <c r="F23" s="4">
        <v>1</v>
      </c>
      <c r="G23" s="3">
        <f t="shared" si="2"/>
        <v>0</v>
      </c>
      <c r="H23" s="9" t="s">
        <v>22</v>
      </c>
      <c r="I23" s="9">
        <v>1</v>
      </c>
      <c r="J23" s="9">
        <v>1</v>
      </c>
      <c r="K23" s="80">
        <f t="shared" si="0"/>
        <v>1</v>
      </c>
      <c r="L23" s="55"/>
      <c r="M23" s="55"/>
      <c r="N23" s="55"/>
      <c r="O23" s="55"/>
      <c r="P23" s="55"/>
    </row>
    <row r="24" spans="1:16">
      <c r="A24" s="4" t="s">
        <v>87</v>
      </c>
      <c r="B24" s="4" t="s">
        <v>53</v>
      </c>
      <c r="C24" s="4">
        <v>1</v>
      </c>
      <c r="D24" s="4">
        <v>1</v>
      </c>
      <c r="E24" s="3">
        <f t="shared" si="1"/>
        <v>0</v>
      </c>
      <c r="F24" s="4">
        <v>0</v>
      </c>
      <c r="G24" s="3">
        <f t="shared" si="2"/>
        <v>1</v>
      </c>
      <c r="H24" s="12">
        <v>0</v>
      </c>
      <c r="I24" s="12">
        <v>0</v>
      </c>
      <c r="J24" s="12">
        <v>0</v>
      </c>
      <c r="K24" s="83">
        <f t="shared" si="0"/>
        <v>0</v>
      </c>
      <c r="L24" s="55"/>
      <c r="M24" s="55"/>
      <c r="N24" s="55"/>
      <c r="O24" s="55"/>
      <c r="P24" s="55"/>
    </row>
    <row r="25" spans="1:16">
      <c r="C25" s="24">
        <f>SUM(C3:C24)</f>
        <v>384</v>
      </c>
      <c r="D25" s="24">
        <f>SUM(D3:D24)</f>
        <v>353</v>
      </c>
      <c r="E25" s="4">
        <f>SUM(E3:E24)</f>
        <v>31</v>
      </c>
      <c r="F25" s="24">
        <f>SUM(F3:F24)</f>
        <v>263</v>
      </c>
      <c r="G25" s="4">
        <f>SUM(G3:G24)</f>
        <v>90</v>
      </c>
    </row>
    <row r="28" spans="1:16" ht="16.8" customHeight="1" thickBot="1">
      <c r="B28" s="13" t="s">
        <v>57</v>
      </c>
      <c r="C28" s="14">
        <f>C25</f>
        <v>384</v>
      </c>
    </row>
    <row r="29" spans="1:16">
      <c r="B29" s="13" t="s">
        <v>3</v>
      </c>
      <c r="C29" s="14">
        <f>D25</f>
        <v>353</v>
      </c>
    </row>
    <row r="30" spans="1:16">
      <c r="B30" s="13" t="s">
        <v>5</v>
      </c>
      <c r="C30" s="14">
        <f>F25</f>
        <v>263</v>
      </c>
    </row>
    <row r="31" spans="1:16">
      <c r="B31" s="13" t="s">
        <v>58</v>
      </c>
      <c r="C31" s="14">
        <f>G25</f>
        <v>90</v>
      </c>
    </row>
    <row r="32" spans="1:16">
      <c r="B32" s="15" t="s">
        <v>59</v>
      </c>
      <c r="C32" s="16">
        <f>E25</f>
        <v>31</v>
      </c>
    </row>
  </sheetData>
  <mergeCells count="11">
    <mergeCell ref="A1:A2"/>
    <mergeCell ref="L1:L2"/>
    <mergeCell ref="H1:H2"/>
    <mergeCell ref="B1:B2"/>
    <mergeCell ref="K1:K2"/>
    <mergeCell ref="I1:I2"/>
    <mergeCell ref="M1:M2"/>
    <mergeCell ref="J1:J2"/>
    <mergeCell ref="P1:P2"/>
    <mergeCell ref="O1:O2"/>
    <mergeCell ref="N1:N2"/>
  </mergeCells>
  <phoneticPr fontId="2" type="noConversion"/>
  <pageMargins left="0.7" right="0.7" top="0.75" bottom="0.75" header="0.3" footer="0.3"/>
  <pageSetup paperSize="9" orientation="portrait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"/>
  <sheetViews>
    <sheetView tabSelected="1" workbookViewId="0">
      <selection activeCell="O14" sqref="O14"/>
    </sheetView>
  </sheetViews>
  <sheetFormatPr defaultRowHeight="16.2"/>
  <cols>
    <col min="11" max="11" width="13.88671875" bestFit="1" customWidth="1"/>
  </cols>
  <sheetData>
    <row r="1" spans="1:16" ht="31.2" customHeight="1" thickBot="1">
      <c r="A1" s="88" t="s">
        <v>0</v>
      </c>
      <c r="B1" s="88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9" t="s">
        <v>6</v>
      </c>
      <c r="H1" s="94" t="s">
        <v>7</v>
      </c>
      <c r="I1" s="92" t="s">
        <v>8</v>
      </c>
      <c r="J1" s="92" t="s">
        <v>9</v>
      </c>
      <c r="K1" s="90" t="s">
        <v>10</v>
      </c>
      <c r="L1" s="90" t="s">
        <v>11</v>
      </c>
      <c r="M1" s="90" t="s">
        <v>12</v>
      </c>
      <c r="N1" s="90" t="s">
        <v>13</v>
      </c>
      <c r="O1" s="90" t="s">
        <v>14</v>
      </c>
      <c r="P1" s="90" t="s">
        <v>15</v>
      </c>
    </row>
    <row r="2" spans="1:16" ht="16.8" customHeight="1" thickBot="1">
      <c r="A2" s="89"/>
      <c r="B2" s="89"/>
      <c r="C2" s="2" t="s">
        <v>16</v>
      </c>
      <c r="D2" s="2" t="s">
        <v>16</v>
      </c>
      <c r="E2" s="2" t="s">
        <v>16</v>
      </c>
      <c r="F2" s="8" t="s">
        <v>16</v>
      </c>
      <c r="G2" s="20" t="s">
        <v>16</v>
      </c>
      <c r="H2" s="93"/>
      <c r="I2" s="93"/>
      <c r="J2" s="93"/>
      <c r="K2" s="91"/>
      <c r="L2" s="91"/>
      <c r="M2" s="91"/>
      <c r="N2" s="91"/>
      <c r="O2" s="91"/>
      <c r="P2" s="91"/>
    </row>
    <row r="3" spans="1:16" ht="16.8" customHeight="1" thickTop="1">
      <c r="A3" s="4" t="s">
        <v>91</v>
      </c>
      <c r="B3" s="4" t="s">
        <v>18</v>
      </c>
      <c r="C3" s="4">
        <v>27</v>
      </c>
      <c r="D3" s="4">
        <v>27</v>
      </c>
      <c r="E3" s="3">
        <f>C3-D3</f>
        <v>0</v>
      </c>
      <c r="F3" s="4">
        <v>27</v>
      </c>
      <c r="G3" s="3">
        <f>D3-F3</f>
        <v>0</v>
      </c>
      <c r="H3" s="9">
        <v>1</v>
      </c>
      <c r="I3" s="9">
        <v>1</v>
      </c>
      <c r="J3" s="9">
        <v>1</v>
      </c>
      <c r="K3" s="80">
        <f t="shared" ref="K3:K8" si="0">IF(D3=0, "待料", F3/D3)</f>
        <v>1</v>
      </c>
      <c r="L3" s="55"/>
      <c r="M3" s="55"/>
      <c r="N3" s="55"/>
      <c r="O3" s="55"/>
      <c r="P3" s="55"/>
    </row>
    <row r="4" spans="1:16">
      <c r="A4" s="4" t="s">
        <v>92</v>
      </c>
      <c r="B4" s="4" t="s">
        <v>18</v>
      </c>
      <c r="C4" s="4">
        <v>9</v>
      </c>
      <c r="D4" s="4">
        <v>9</v>
      </c>
      <c r="E4" s="17">
        <f>C4-D4</f>
        <v>0</v>
      </c>
      <c r="F4" s="4">
        <v>6</v>
      </c>
      <c r="G4" s="17">
        <f>D4-F4</f>
        <v>3</v>
      </c>
      <c r="H4" s="9">
        <v>0.67</v>
      </c>
      <c r="I4" s="9">
        <v>0.67</v>
      </c>
      <c r="J4" s="9">
        <v>0.66666666666666663</v>
      </c>
      <c r="K4" s="80">
        <f t="shared" si="0"/>
        <v>0.66666666666666663</v>
      </c>
      <c r="L4" s="55"/>
      <c r="M4" s="55"/>
      <c r="N4" s="55"/>
      <c r="O4" s="55"/>
      <c r="P4" s="55"/>
    </row>
    <row r="5" spans="1:16" ht="31.2" customHeight="1">
      <c r="A5" s="4" t="s">
        <v>92</v>
      </c>
      <c r="B5" s="4" t="s">
        <v>93</v>
      </c>
      <c r="C5" s="4">
        <v>19</v>
      </c>
      <c r="D5" s="4">
        <v>19</v>
      </c>
      <c r="E5" s="17">
        <f>C5-D5</f>
        <v>0</v>
      </c>
      <c r="F5" s="4">
        <v>19</v>
      </c>
      <c r="G5" s="17">
        <f>D5-F5</f>
        <v>0</v>
      </c>
      <c r="H5" s="9">
        <v>1</v>
      </c>
      <c r="I5" s="9">
        <v>1</v>
      </c>
      <c r="J5" s="9">
        <v>1</v>
      </c>
      <c r="K5" s="80">
        <f t="shared" si="0"/>
        <v>1</v>
      </c>
      <c r="L5" s="55"/>
      <c r="M5" s="55"/>
      <c r="N5" s="55"/>
      <c r="O5" s="55"/>
      <c r="P5" s="55"/>
    </row>
    <row r="6" spans="1:16">
      <c r="A6" s="4" t="s">
        <v>94</v>
      </c>
      <c r="B6" s="4" t="s">
        <v>38</v>
      </c>
      <c r="C6" s="4">
        <v>11</v>
      </c>
      <c r="D6" s="4">
        <v>11</v>
      </c>
      <c r="E6" s="17">
        <f>C6-D6</f>
        <v>0</v>
      </c>
      <c r="F6" s="4">
        <v>11</v>
      </c>
      <c r="G6" s="17">
        <f>D6-F6</f>
        <v>0</v>
      </c>
      <c r="H6" s="9">
        <v>1</v>
      </c>
      <c r="I6" s="9">
        <v>1</v>
      </c>
      <c r="J6" s="9">
        <v>1</v>
      </c>
      <c r="K6" s="80">
        <f t="shared" si="0"/>
        <v>1</v>
      </c>
      <c r="L6" s="55"/>
      <c r="M6" s="55"/>
      <c r="N6" s="55"/>
      <c r="O6" s="55"/>
      <c r="P6" s="55"/>
    </row>
    <row r="7" spans="1:16">
      <c r="A7" s="4" t="s">
        <v>95</v>
      </c>
      <c r="B7" s="4" t="s">
        <v>38</v>
      </c>
      <c r="C7" s="4">
        <v>2</v>
      </c>
      <c r="D7" s="4">
        <v>0</v>
      </c>
      <c r="E7" s="18">
        <f>C7-D7</f>
        <v>2</v>
      </c>
      <c r="F7" s="4">
        <v>0</v>
      </c>
      <c r="G7" s="18">
        <f>D7-F7</f>
        <v>0</v>
      </c>
      <c r="H7" s="44"/>
      <c r="I7" s="9" t="s">
        <v>22</v>
      </c>
      <c r="J7" s="9" t="s">
        <v>22</v>
      </c>
      <c r="K7" s="80" t="str">
        <f t="shared" si="0"/>
        <v>待料</v>
      </c>
      <c r="L7" s="55"/>
      <c r="M7" s="55"/>
      <c r="N7" s="55"/>
      <c r="O7" s="55"/>
      <c r="P7" s="55"/>
    </row>
    <row r="8" spans="1:16">
      <c r="A8" s="60" t="s">
        <v>96</v>
      </c>
      <c r="B8" s="60" t="s">
        <v>18</v>
      </c>
      <c r="C8" s="60">
        <v>8</v>
      </c>
      <c r="D8" s="60">
        <v>0</v>
      </c>
      <c r="E8" s="60">
        <v>8</v>
      </c>
      <c r="F8" s="60">
        <v>0</v>
      </c>
      <c r="G8" s="60">
        <v>0</v>
      </c>
      <c r="H8" s="63"/>
      <c r="I8" s="63"/>
      <c r="J8" s="63"/>
      <c r="K8" s="80" t="str">
        <f t="shared" si="0"/>
        <v>待料</v>
      </c>
      <c r="L8" s="64"/>
      <c r="M8" s="64"/>
      <c r="N8" s="64"/>
      <c r="O8" s="64"/>
      <c r="P8" s="64"/>
    </row>
    <row r="9" spans="1:16">
      <c r="C9" s="38">
        <f>SUM(C3:C8)</f>
        <v>76</v>
      </c>
      <c r="D9" s="38">
        <f>SUM(D3:D8)</f>
        <v>66</v>
      </c>
      <c r="E9" s="3">
        <f>SUM(E3:E8)</f>
        <v>10</v>
      </c>
      <c r="F9" s="38">
        <f>SUM(F3:F8)</f>
        <v>63</v>
      </c>
      <c r="G9" s="3">
        <f>SUM(G3:G8)</f>
        <v>3</v>
      </c>
    </row>
    <row r="12" spans="1:16">
      <c r="C12" s="13" t="s">
        <v>57</v>
      </c>
      <c r="D12" s="14">
        <f>C9</f>
        <v>76</v>
      </c>
    </row>
    <row r="13" spans="1:16">
      <c r="C13" s="13" t="s">
        <v>3</v>
      </c>
      <c r="D13" s="14">
        <f>D9</f>
        <v>66</v>
      </c>
      <c r="K13" s="13" t="s">
        <v>57</v>
      </c>
      <c r="L13" s="14">
        <f>C9</f>
        <v>76</v>
      </c>
    </row>
    <row r="14" spans="1:16">
      <c r="C14" s="13" t="s">
        <v>5</v>
      </c>
      <c r="D14" s="14">
        <f>F9</f>
        <v>63</v>
      </c>
      <c r="K14" s="13" t="s">
        <v>3</v>
      </c>
      <c r="L14" s="14">
        <f>D9</f>
        <v>66</v>
      </c>
    </row>
    <row r="15" spans="1:16" ht="16.8" customHeight="1" thickBot="1">
      <c r="C15" s="13" t="s">
        <v>58</v>
      </c>
      <c r="D15" s="14">
        <f>G9</f>
        <v>3</v>
      </c>
      <c r="K15" s="13" t="s">
        <v>5</v>
      </c>
      <c r="L15" s="14">
        <f>F9</f>
        <v>63</v>
      </c>
    </row>
    <row r="16" spans="1:16" ht="16.8" customHeight="1" thickBot="1">
      <c r="C16" s="15" t="s">
        <v>59</v>
      </c>
      <c r="D16" s="16">
        <f>E9</f>
        <v>10</v>
      </c>
      <c r="K16" s="13" t="s">
        <v>58</v>
      </c>
      <c r="L16" s="14">
        <f>G9</f>
        <v>3</v>
      </c>
    </row>
    <row r="17" spans="11:12">
      <c r="K17" s="15" t="s">
        <v>59</v>
      </c>
      <c r="L17" s="16">
        <f>E9</f>
        <v>10</v>
      </c>
    </row>
  </sheetData>
  <mergeCells count="11">
    <mergeCell ref="A1:A2"/>
    <mergeCell ref="M1:M2"/>
    <mergeCell ref="P1:P2"/>
    <mergeCell ref="O1:O2"/>
    <mergeCell ref="B1:B2"/>
    <mergeCell ref="K1:K2"/>
    <mergeCell ref="I1:I2"/>
    <mergeCell ref="L1:L2"/>
    <mergeCell ref="J1:J2"/>
    <mergeCell ref="H1:H2"/>
    <mergeCell ref="N1:N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北</vt:lpstr>
      <vt:lpstr>中</vt:lpstr>
      <vt:lpstr>南</vt:lpstr>
      <vt:lpstr>國外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智偉 張</cp:lastModifiedBy>
  <dcterms:created xsi:type="dcterms:W3CDTF">2006-09-16T00:00:00Z</dcterms:created>
  <dcterms:modified xsi:type="dcterms:W3CDTF">2026-08-18T14:22:03Z</dcterms:modified>
</cp:coreProperties>
</file>